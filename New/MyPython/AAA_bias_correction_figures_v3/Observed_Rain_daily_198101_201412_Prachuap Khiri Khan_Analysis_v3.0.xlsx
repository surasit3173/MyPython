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Python\New folder\"/>
    </mc:Choice>
  </mc:AlternateContent>
  <xr:revisionPtr revIDLastSave="0" documentId="13_ncr:1_{512FEAD0-D4FE-4CFA-BEB3-8DE5C18C087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1 Daily Metrics" sheetId="1" r:id="rId1"/>
    <sheet name="S2 Monthly Metrics" sheetId="2" r:id="rId2"/>
    <sheet name="S3 Improvement" sheetId="3" r:id="rId3"/>
    <sheet name="S4 Wilcoxon Daily" sheetId="4" r:id="rId4"/>
    <sheet name="S5 Wilcoxon Monthly" sheetId="5" r:id="rId5"/>
    <sheet name="S6 Multi-Model Summary" sheetId="6" r:id="rId6"/>
    <sheet name="S7 Methods &amp; Referenc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</calcChain>
</file>

<file path=xl/sharedStrings.xml><?xml version="1.0" encoding="utf-8"?>
<sst xmlns="http://schemas.openxmlformats.org/spreadsheetml/2006/main" count="1003" uniqueCount="185">
  <si>
    <t>Statistical Performance Metrics — Daily  (Ensemble Mean of 5 Models)</t>
  </si>
  <si>
    <t>Obs: 1981–2014  |  Sim: 1981–2014  |  Green=improved after QDM  |  Red=degraded  |  Perf.Cat: Moriasi et al.(2007) Very Good&gt;0.75, Good&gt;0.65, Satisfactory&gt;0.50</t>
  </si>
  <si>
    <t>Dataset</t>
  </si>
  <si>
    <t>Station</t>
  </si>
  <si>
    <t>Code</t>
  </si>
  <si>
    <t>Perf.Cat (NSE)</t>
  </si>
  <si>
    <t>n</t>
  </si>
  <si>
    <t>RMSE</t>
  </si>
  <si>
    <t>MAE</t>
  </si>
  <si>
    <t>MBE</t>
  </si>
  <si>
    <t>Pbias</t>
  </si>
  <si>
    <t>r</t>
  </si>
  <si>
    <t>NSE</t>
  </si>
  <si>
    <t>KGE</t>
  </si>
  <si>
    <t>d</t>
  </si>
  <si>
    <t>Raw CMIP6</t>
  </si>
  <si>
    <t>500001</t>
  </si>
  <si>
    <t>S1</t>
  </si>
  <si>
    <t>Unsatisfactory</t>
  </si>
  <si>
    <t>500002</t>
  </si>
  <si>
    <t>S2</t>
  </si>
  <si>
    <t>500003</t>
  </si>
  <si>
    <t>S3</t>
  </si>
  <si>
    <t>500004</t>
  </si>
  <si>
    <t>S4</t>
  </si>
  <si>
    <t>500005</t>
  </si>
  <si>
    <t>S5</t>
  </si>
  <si>
    <t>500006</t>
  </si>
  <si>
    <t>S6</t>
  </si>
  <si>
    <t>500007</t>
  </si>
  <si>
    <t>S7</t>
  </si>
  <si>
    <t>500008</t>
  </si>
  <si>
    <t>S8</t>
  </si>
  <si>
    <t>500009</t>
  </si>
  <si>
    <t>S9</t>
  </si>
  <si>
    <t>500201</t>
  </si>
  <si>
    <t>S10</t>
  </si>
  <si>
    <t>500202</t>
  </si>
  <si>
    <t>S11</t>
  </si>
  <si>
    <t>500301</t>
  </si>
  <si>
    <t>S12</t>
  </si>
  <si>
    <t>BC (QDM)</t>
  </si>
  <si>
    <t>Raw — REGIONAL MEAN</t>
  </si>
  <si>
    <t>ALL</t>
  </si>
  <si>
    <t>REG</t>
  </si>
  <si>
    <t>—</t>
  </si>
  <si>
    <t>BC  — REGIONAL MEAN</t>
  </si>
  <si>
    <t>Statistical Performance Metrics — Monthly  (Ensemble Mean of 5 Models)</t>
  </si>
  <si>
    <t>Satisfactory</t>
  </si>
  <si>
    <t>Very Good</t>
  </si>
  <si>
    <t>Improvement Summary — Ensemble Mean (Daily + Monthly)</t>
  </si>
  <si>
    <t>Δ=BC−Raw | positive=improved | %=relative change | Green=improved | Red=degraded</t>
  </si>
  <si>
    <t>Scale</t>
  </si>
  <si>
    <t>ΔRMSE (mm)</t>
  </si>
  <si>
    <t>%RMSE</t>
  </si>
  <si>
    <t>ΔPbias</t>
  </si>
  <si>
    <t>Δr</t>
  </si>
  <si>
    <t>ΔNSE</t>
  </si>
  <si>
    <t>ΔKGE</t>
  </si>
  <si>
    <t>Δd</t>
  </si>
  <si>
    <t>KGE Raw</t>
  </si>
  <si>
    <t>KGE BC</t>
  </si>
  <si>
    <t>Daily</t>
  </si>
  <si>
    <t>-3.0%</t>
  </si>
  <si>
    <t>0.1%</t>
  </si>
  <si>
    <t>-3.8%</t>
  </si>
  <si>
    <t>-0.7%</t>
  </si>
  <si>
    <t>6.7%</t>
  </si>
  <si>
    <t>6.3%</t>
  </si>
  <si>
    <t>5.4%</t>
  </si>
  <si>
    <t>17.7%</t>
  </si>
  <si>
    <t>14.6%</t>
  </si>
  <si>
    <t>-2.0%</t>
  </si>
  <si>
    <t>-3.3%</t>
  </si>
  <si>
    <t>-2.6%</t>
  </si>
  <si>
    <t>Monthly</t>
  </si>
  <si>
    <t>18.5%</t>
  </si>
  <si>
    <t>28.7%</t>
  </si>
  <si>
    <t>14.2%</t>
  </si>
  <si>
    <t>26.6%</t>
  </si>
  <si>
    <t>27.4%</t>
  </si>
  <si>
    <t>28.3%</t>
  </si>
  <si>
    <t>27.0%</t>
  </si>
  <si>
    <t>42.4%</t>
  </si>
  <si>
    <t>40.4%</t>
  </si>
  <si>
    <t>22.7%</t>
  </si>
  <si>
    <t>13.5%</t>
  </si>
  <si>
    <t>19.2%</t>
  </si>
  <si>
    <t>Wilcoxon Signed-Rank Test — Daily Scale</t>
  </si>
  <si>
    <t>H₀: Raw=QDM  |  H₁: QDM better than Raw (one-tailed, α=0.05)  |  N=60 model×station pairs  |  Period: 1981–2014  |  Ref: Wilcoxon(1945) Biometrics Bull.1:80-83; Conover(1999) Practical Nonparametric Statistics</t>
  </si>
  <si>
    <t>Metric</t>
  </si>
  <si>
    <t>H₁ Direction</t>
  </si>
  <si>
    <t>N (pairs)</t>
  </si>
  <si>
    <t>W-statistic</t>
  </si>
  <si>
    <t>p-value (two-tail)</t>
  </si>
  <si>
    <t>p-value (one-tail)</t>
  </si>
  <si>
    <t>Stars</t>
  </si>
  <si>
    <t>Median Improvement</t>
  </si>
  <si>
    <t>Significant?</t>
  </si>
  <si>
    <t>Interpretation</t>
  </si>
  <si>
    <t>BC &lt; Raw (reduction=better)</t>
  </si>
  <si>
    <t>ns</t>
  </si>
  <si>
    <t>No</t>
  </si>
  <si>
    <t>Not significant</t>
  </si>
  <si>
    <t>**</t>
  </si>
  <si>
    <t>Yes</t>
  </si>
  <si>
    <t>QDM significantly improves</t>
  </si>
  <si>
    <t>BC &gt; Raw (increase=better)</t>
  </si>
  <si>
    <t>*</t>
  </si>
  <si>
    <t>***</t>
  </si>
  <si>
    <t>INTERPRETATION: p&lt;0.05 (one-tailed) → Reject H₀ → QDM significantly improves performance. Non-parametric test appropriate for skewed, zero-inflated rainfall data. Ref: Wilcoxon(1945); Conover(1999).</t>
  </si>
  <si>
    <t>Wilcoxon Signed-Rank Test — Monthly Scale</t>
  </si>
  <si>
    <t>Multi-Model Performance Summary — Daily Scale (Per Model, Per Station)</t>
  </si>
  <si>
    <t>All 5 models individually  |  Obs: 1981–2014  |  Sim: 1981–2014  |  Green=KGE&gt;0.75 Very Good  |  Sorted by KGE</t>
  </si>
  <si>
    <t>Model</t>
  </si>
  <si>
    <t>EC-Earth3</t>
  </si>
  <si>
    <t>CESM2</t>
  </si>
  <si>
    <t>CanESM5</t>
  </si>
  <si>
    <t>ACCESS-ESM1-5</t>
  </si>
  <si>
    <t>MIROC6</t>
  </si>
  <si>
    <t>Statistical Methods and Complete References</t>
  </si>
  <si>
    <t>Study: Prachuap Khiri Khan Province | Obs: 1981–2014 | Models: ACCESS-ESM1-5, CESM2, CanESM5, EC-Earth3, MIROC6</t>
  </si>
  <si>
    <t>Reference Key</t>
  </si>
  <si>
    <t>Full Citation</t>
  </si>
  <si>
    <t>Application / Formula</t>
  </si>
  <si>
    <t>Wilcoxon Test</t>
  </si>
  <si>
    <t>Wilcoxon F (1945). Individual comparisons by ranking methods. Biometrics Bull. 1:80–83.</t>
  </si>
  <si>
    <t>Non-parametric paired test; H₁: QDM better than Raw; one-tailed α=0.05; zero_method=wilcox</t>
  </si>
  <si>
    <t>Conover (1999)</t>
  </si>
  <si>
    <t>Conover WJ (1999). Practical Nonparametric Statistics, 3rd ed. Wiley.</t>
  </si>
  <si>
    <t>Theoretical basis for non-parametric tests for skewed rainfall data</t>
  </si>
  <si>
    <t>Gupta HV, Kling H, Yilmaz KK, Martinez GF (2009). J.Hydrol. 377:80–91.</t>
  </si>
  <si>
    <t>KGE=1-√[(r-1)²+(σr-1)²+(β-1)²] | Perfect=1 | Very Good&gt;0.75</t>
  </si>
  <si>
    <t>Nash JE, Sutcliffe JV (1970). J.Hydrol. 10:282–290.</t>
  </si>
  <si>
    <t>NSE=1-Σ(S-O)²/Σ(O-Ō)² | Very Good&gt;0.75, Good&gt;0.65, Satisfactory&gt;0.50</t>
  </si>
  <si>
    <t>IoA</t>
  </si>
  <si>
    <t>Willmott CJ (1981). Phys.Geogr. 2:184–194.</t>
  </si>
  <si>
    <t>d=1-Σ(S-O)²/Σ(|S-Ō|+|O-Ō|)² | Range [0,1]</t>
  </si>
  <si>
    <t>Performance</t>
  </si>
  <si>
    <t>Moriasi DN et al. (2007). Trans.ASABE 50:885–900.</t>
  </si>
  <si>
    <t>Performance criteria: VG(NSE&gt;0.75), Good(0.65-0.75), Satisfactory(0.50-0.65)</t>
  </si>
  <si>
    <t>QDM</t>
  </si>
  <si>
    <t>Cannon AJ, Sobie SR, Murdock TQ (2015). J.Climate 28:6938–6959.</t>
  </si>
  <si>
    <t>Quantile Delta Mapping — bias correction preserving quantile change signal</t>
  </si>
  <si>
    <t>Taylor</t>
  </si>
  <si>
    <t>Taylor KE (2001). J.Geophys.Res. 106:7183–7192.</t>
  </si>
  <si>
    <t>Taylor diagram: simultaneously displays r, σ_r, RMSE</t>
  </si>
  <si>
    <t>ETCCDI</t>
  </si>
  <si>
    <t>Karl TR, Nicholls N, Ghazi A (1999). Int.J.Climatol. 19:405–420.</t>
  </si>
  <si>
    <t>Expert Team on Climate Change Detection Indices</t>
  </si>
  <si>
    <t>Station ID</t>
  </si>
  <si>
    <t>Station Name (Code)</t>
  </si>
  <si>
    <t>Latitude (N)</t>
  </si>
  <si>
    <t>Longitude (E)</t>
  </si>
  <si>
    <t>Elevation (m MSL)</t>
  </si>
  <si>
    <t>Mean Annual Rainfall (mm)</t>
  </si>
  <si>
    <t>Wet Days (days/year)</t>
  </si>
  <si>
    <t>Prachuap Khiri Khan (S1)</t>
  </si>
  <si>
    <t>Hua Hin (S2)</t>
  </si>
  <si>
    <t>Kui Buri (S3)</t>
  </si>
  <si>
    <t>Thap Sakae (S4)</t>
  </si>
  <si>
    <t>Bang Saphan (S5)</t>
  </si>
  <si>
    <t>Bang Saphan Noi (S6)</t>
  </si>
  <si>
    <t>Sam Roi Yot (S7)</t>
  </si>
  <si>
    <t>Pran Buri (S8)</t>
  </si>
  <si>
    <t>Mueang Prachuap (S9)</t>
  </si>
  <si>
    <t>Huay Yang (S10)</t>
  </si>
  <si>
    <t>Khlong Wan (S11)</t>
  </si>
  <si>
    <t>Khao Lan (S12)</t>
  </si>
  <si>
    <t>ญลักษณ์ระดับนัยสำคัญ (p-value)ความหมายการตีความทั่วไปnsp ≥ 0.05ไม่มีนัยสำคัญทางสถิติ (not significant)ไม่สามารถสรุปได้ว่ามีการปรับปรุง*0.01 ≤ p &lt; 0.05มีนัยสำคัญระดับ 5% (significant at 5%)QDM ปรับปรุงอย่างมีนัยสำคัญ**0.001 ≤ p &lt; 0.01มีนัยสำคัญระดับ 1% (significant at 1%)QDM ปรับปรุงอย่างมีนัยสำคัญมาก***p &lt; 0.001มีนัยสำคัญระดับ 0.1% (highly significant)QDM ปรับปรุงอย่างมีนัยสำคัญมาก</t>
  </si>
  <si>
    <t>Symbolp-valueMeaningGeneral Interpretationnsp ≥ 0.05Not statistically significantNo significant improvement can be concluded*0.01 ≤ p &lt; 0.05Statistically significant at the 5% levelQDM significantly improves model performance**0.001 ≤ p &lt; 0.01Statistically significant at the 1% levelQDM significantly improves model performance***p &lt; 0.001Highly statistically significantQDM significantly improves model performance</t>
  </si>
  <si>
    <t>Symbol</t>
  </si>
  <si>
    <t>p-value</t>
  </si>
  <si>
    <t>Meaning</t>
  </si>
  <si>
    <t>General Interpretation</t>
  </si>
  <si>
    <t>p ≥ 0.05</t>
  </si>
  <si>
    <t>Not statistically significant</t>
  </si>
  <si>
    <t>No significant improvement can be concluded</t>
  </si>
  <si>
    <t>0.01 ≤ p &lt; 0.05</t>
  </si>
  <si>
    <t>Statistically significant at the 5% level</t>
  </si>
  <si>
    <t>QDM significantly improves model performance</t>
  </si>
  <si>
    <t>0.001 ≤ p &lt; 0.01</t>
  </si>
  <si>
    <t>Statistically significant at the 1% level</t>
  </si>
  <si>
    <t>p &lt; 0.001</t>
  </si>
  <si>
    <t>Highly statistically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</si>
</sst>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FFFFFF"/>
      <name val="Calibri"/>
    </font>
    <font>
      <b/>
      <sz val="10"/>
      <color rgb="FFFFFFFF"/>
      <name val="Calibri"/>
    </font>
    <font>
      <sz val="9"/>
      <color rgb="FF1A1A1A"/>
      <name val="Calibri"/>
    </font>
    <font>
      <b/>
      <sz val="10"/>
      <color rgb="FF1A1A1A"/>
      <name val="Calibri"/>
    </font>
    <font>
      <sz val="10"/>
      <color rgb="FF1A1A1A"/>
      <name val="Calibri"/>
    </font>
    <font>
      <b/>
      <sz val="10"/>
      <color rgb="FF1B5E20"/>
      <name val="Calibri"/>
    </font>
    <font>
      <i/>
      <sz val="9"/>
      <color rgb="FF1A1A1A"/>
      <name val="Calibri"/>
    </font>
    <font>
      <b/>
      <sz val="9.5"/>
      <color rgb="FF1A1A1A"/>
      <name val="Calibri"/>
    </font>
    <font>
      <sz val="9.5"/>
      <color rgb="FF1A1A1A"/>
      <name val="Calibri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3293D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EBEE"/>
      </patternFill>
    </fill>
    <fill>
      <patternFill patternType="solid">
        <fgColor rgb="FFE3F2FD"/>
      </patternFill>
    </fill>
    <fill>
      <patternFill patternType="solid">
        <fgColor rgb="FFFFCCBC"/>
      </patternFill>
    </fill>
    <fill>
      <patternFill patternType="solid">
        <fgColor rgb="FFC8E6C9"/>
      </patternFill>
    </fill>
    <fill>
      <patternFill patternType="solid">
        <fgColor rgb="FFFFFFFF"/>
      </patternFill>
    </fill>
    <fill>
      <patternFill patternType="solid">
        <fgColor rgb="FFFFFFF0"/>
      </patternFill>
    </fill>
    <fill>
      <patternFill patternType="solid">
        <fgColor rgb="FFECEFF1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68" fontId="4" fillId="5" borderId="1" xfId="0" applyNumberFormat="1" applyFont="1" applyFill="1" applyBorder="1" applyAlignment="1">
      <alignment horizontal="right" vertical="center" wrapText="1"/>
    </xf>
    <xf numFmtId="168" fontId="4" fillId="8" borderId="1" xfId="0" applyNumberFormat="1" applyFont="1" applyFill="1" applyBorder="1" applyAlignment="1">
      <alignment horizontal="right" vertical="center" wrapText="1"/>
    </xf>
    <xf numFmtId="168" fontId="4" fillId="7" borderId="1" xfId="0" applyNumberFormat="1" applyFont="1" applyFill="1" applyBorder="1" applyAlignment="1">
      <alignment horizontal="right" vertical="center" wrapText="1"/>
    </xf>
    <xf numFmtId="168" fontId="5" fillId="5" borderId="1" xfId="0" applyNumberFormat="1" applyFont="1" applyFill="1" applyBorder="1" applyAlignment="1">
      <alignment horizontal="right" vertical="center" wrapText="1"/>
    </xf>
    <xf numFmtId="168" fontId="5" fillId="6" borderId="1" xfId="0" applyNumberFormat="1" applyFont="1" applyFill="1" applyBorder="1" applyAlignment="1">
      <alignment horizontal="right" vertical="center" wrapText="1"/>
    </xf>
    <xf numFmtId="2" fontId="4" fillId="5" borderId="1" xfId="0" applyNumberFormat="1" applyFont="1" applyFill="1" applyBorder="1" applyAlignment="1">
      <alignment horizontal="right" vertical="center" wrapText="1"/>
    </xf>
    <xf numFmtId="2" fontId="4" fillId="8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2" fontId="5" fillId="6" borderId="1" xfId="0" applyNumberFormat="1" applyFont="1" applyFill="1" applyBorder="1" applyAlignment="1">
      <alignment horizontal="right" vertical="center" wrapText="1"/>
    </xf>
    <xf numFmtId="2" fontId="4" fillId="7" borderId="1" xfId="0" applyNumberFormat="1" applyFont="1" applyFill="1" applyBorder="1" applyAlignment="1">
      <alignment horizontal="right" vertical="center" wrapText="1"/>
    </xf>
    <xf numFmtId="168" fontId="0" fillId="0" borderId="0" xfId="0" applyNumberFormat="1"/>
    <xf numFmtId="168" fontId="6" fillId="8" borderId="1" xfId="0" applyNumberFormat="1" applyFont="1" applyFill="1" applyBorder="1" applyAlignment="1">
      <alignment horizontal="center" vertical="center" wrapText="1"/>
    </xf>
    <xf numFmtId="168" fontId="6" fillId="1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F29" sqref="F29:M29"/>
    </sheetView>
  </sheetViews>
  <sheetFormatPr defaultRowHeight="15" x14ac:dyDescent="0.25"/>
  <cols>
    <col min="1" max="1" width="14" customWidth="1"/>
    <col min="2" max="2" width="10" customWidth="1"/>
    <col min="3" max="3" width="6" customWidth="1"/>
    <col min="4" max="4" width="18" customWidth="1"/>
    <col min="5" max="13" width="10" customWidth="1"/>
  </cols>
  <sheetData>
    <row r="1" spans="1:13" ht="24" customHeight="1" x14ac:dyDescent="0.25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4.1" customHeight="1" x14ac:dyDescent="0.25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4" spans="1:13" ht="36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15" customHeight="1" x14ac:dyDescent="0.25">
      <c r="A5" s="2" t="s">
        <v>15</v>
      </c>
      <c r="B5" s="2" t="s">
        <v>16</v>
      </c>
      <c r="C5" s="2" t="s">
        <v>17</v>
      </c>
      <c r="D5" s="2" t="s">
        <v>18</v>
      </c>
      <c r="E5" s="3">
        <v>12410</v>
      </c>
      <c r="F5" s="30">
        <v>8.8521000000000001</v>
      </c>
      <c r="G5" s="30">
        <v>4.1276000000000002</v>
      </c>
      <c r="H5" s="30">
        <v>0.1263</v>
      </c>
      <c r="I5" s="3">
        <v>4.6900000000000004</v>
      </c>
      <c r="J5" s="30">
        <v>0.11409999999999999</v>
      </c>
      <c r="K5" s="30">
        <v>-4.6100000000000002E-2</v>
      </c>
      <c r="L5" s="30">
        <v>-9.5899999999999999E-2</v>
      </c>
      <c r="M5" s="30">
        <v>0.25090000000000001</v>
      </c>
    </row>
    <row r="6" spans="1:13" ht="15" customHeight="1" x14ac:dyDescent="0.25">
      <c r="A6" s="2" t="s">
        <v>15</v>
      </c>
      <c r="B6" s="2" t="s">
        <v>19</v>
      </c>
      <c r="C6" s="2" t="s">
        <v>20</v>
      </c>
      <c r="D6" s="2" t="s">
        <v>18</v>
      </c>
      <c r="E6" s="3">
        <v>12410</v>
      </c>
      <c r="F6" s="30">
        <v>10.334099999999999</v>
      </c>
      <c r="G6" s="30">
        <v>5.4328000000000003</v>
      </c>
      <c r="H6" s="30">
        <v>0.85899999999999999</v>
      </c>
      <c r="I6" s="3">
        <v>22.78</v>
      </c>
      <c r="J6" s="30">
        <v>0.16569999999999999</v>
      </c>
      <c r="K6" s="30">
        <v>-6.2600000000000003E-2</v>
      </c>
      <c r="L6" s="30">
        <v>-2.3199999999999998E-2</v>
      </c>
      <c r="M6" s="30">
        <v>0.34100000000000003</v>
      </c>
    </row>
    <row r="7" spans="1:13" ht="15" customHeight="1" x14ac:dyDescent="0.25">
      <c r="A7" s="2" t="s">
        <v>15</v>
      </c>
      <c r="B7" s="2" t="s">
        <v>21</v>
      </c>
      <c r="C7" s="2" t="s">
        <v>22</v>
      </c>
      <c r="D7" s="2" t="s">
        <v>18</v>
      </c>
      <c r="E7" s="3">
        <v>12410</v>
      </c>
      <c r="F7" s="30">
        <v>9.7645</v>
      </c>
      <c r="G7" s="30">
        <v>4.4846000000000004</v>
      </c>
      <c r="H7" s="30">
        <v>-4.7899999999999998E-2</v>
      </c>
      <c r="I7" s="3">
        <v>-1.59</v>
      </c>
      <c r="J7" s="30">
        <v>0.1135</v>
      </c>
      <c r="K7" s="30">
        <v>-3.78E-2</v>
      </c>
      <c r="L7" s="30">
        <v>-0.1061</v>
      </c>
      <c r="M7" s="30">
        <v>0.2452</v>
      </c>
    </row>
    <row r="8" spans="1:13" ht="15" customHeight="1" x14ac:dyDescent="0.25">
      <c r="A8" s="2" t="s">
        <v>15</v>
      </c>
      <c r="B8" s="2" t="s">
        <v>23</v>
      </c>
      <c r="C8" s="2" t="s">
        <v>24</v>
      </c>
      <c r="D8" s="2" t="s">
        <v>18</v>
      </c>
      <c r="E8" s="3">
        <v>12410</v>
      </c>
      <c r="F8" s="30">
        <v>9.5366</v>
      </c>
      <c r="G8" s="30">
        <v>4.8411</v>
      </c>
      <c r="H8" s="30">
        <v>0.73009999999999997</v>
      </c>
      <c r="I8" s="3">
        <v>24.09</v>
      </c>
      <c r="J8" s="30">
        <v>0.12130000000000001</v>
      </c>
      <c r="K8" s="30">
        <v>-9.1300000000000006E-2</v>
      </c>
      <c r="L8" s="30">
        <v>-7.1099999999999997E-2</v>
      </c>
      <c r="M8" s="30">
        <v>0.29360000000000003</v>
      </c>
    </row>
    <row r="9" spans="1:13" ht="15" customHeight="1" x14ac:dyDescent="0.25">
      <c r="A9" s="2" t="s">
        <v>15</v>
      </c>
      <c r="B9" s="2" t="s">
        <v>25</v>
      </c>
      <c r="C9" s="2" t="s">
        <v>26</v>
      </c>
      <c r="D9" s="2" t="s">
        <v>18</v>
      </c>
      <c r="E9" s="3">
        <v>12410</v>
      </c>
      <c r="F9" s="30">
        <v>7.1745999999999999</v>
      </c>
      <c r="G9" s="30">
        <v>3.6844000000000001</v>
      </c>
      <c r="H9" s="30">
        <v>0.61760000000000004</v>
      </c>
      <c r="I9" s="3">
        <v>19.649999999999999</v>
      </c>
      <c r="J9" s="30">
        <v>0.17580000000000001</v>
      </c>
      <c r="K9" s="30">
        <v>-0.1555</v>
      </c>
      <c r="L9" s="30">
        <v>6.2E-2</v>
      </c>
      <c r="M9" s="30">
        <v>0.37480000000000002</v>
      </c>
    </row>
    <row r="10" spans="1:13" ht="15" customHeight="1" x14ac:dyDescent="0.25">
      <c r="A10" s="2" t="s">
        <v>15</v>
      </c>
      <c r="B10" s="2" t="s">
        <v>27</v>
      </c>
      <c r="C10" s="2" t="s">
        <v>28</v>
      </c>
      <c r="D10" s="2" t="s">
        <v>18</v>
      </c>
      <c r="E10" s="3">
        <v>12410</v>
      </c>
      <c r="F10" s="30">
        <v>7.4489999999999998</v>
      </c>
      <c r="G10" s="30">
        <v>3.7021999999999999</v>
      </c>
      <c r="H10" s="30">
        <v>0.46460000000000001</v>
      </c>
      <c r="I10" s="3">
        <v>14.1</v>
      </c>
      <c r="J10" s="30">
        <v>0.16350000000000001</v>
      </c>
      <c r="K10" s="30">
        <v>-0.14549999999999999</v>
      </c>
      <c r="L10" s="30">
        <v>5.0299999999999997E-2</v>
      </c>
      <c r="M10" s="30">
        <v>0.3594</v>
      </c>
    </row>
    <row r="11" spans="1:13" ht="15" customHeight="1" x14ac:dyDescent="0.25">
      <c r="A11" s="2" t="s">
        <v>15</v>
      </c>
      <c r="B11" s="2" t="s">
        <v>29</v>
      </c>
      <c r="C11" s="2" t="s">
        <v>30</v>
      </c>
      <c r="D11" s="2" t="s">
        <v>18</v>
      </c>
      <c r="E11" s="3">
        <v>12410</v>
      </c>
      <c r="F11" s="30">
        <v>7.0172999999999996</v>
      </c>
      <c r="G11" s="30">
        <v>3.5110999999999999</v>
      </c>
      <c r="H11" s="30">
        <v>0.31430000000000002</v>
      </c>
      <c r="I11" s="3">
        <v>10.119999999999999</v>
      </c>
      <c r="J11" s="30">
        <v>0.158</v>
      </c>
      <c r="K11" s="30">
        <v>-0.1321</v>
      </c>
      <c r="L11" s="30">
        <v>4.0599999999999997E-2</v>
      </c>
      <c r="M11" s="30">
        <v>0.35060000000000002</v>
      </c>
    </row>
    <row r="12" spans="1:13" ht="15" customHeight="1" x14ac:dyDescent="0.25">
      <c r="A12" s="2" t="s">
        <v>15</v>
      </c>
      <c r="B12" s="2" t="s">
        <v>31</v>
      </c>
      <c r="C12" s="2" t="s">
        <v>32</v>
      </c>
      <c r="D12" s="2" t="s">
        <v>18</v>
      </c>
      <c r="E12" s="3">
        <v>12410</v>
      </c>
      <c r="F12" s="30">
        <v>4.5071000000000003</v>
      </c>
      <c r="G12" s="30">
        <v>2.7564000000000002</v>
      </c>
      <c r="H12" s="30">
        <v>-0.2326</v>
      </c>
      <c r="I12" s="3">
        <v>-7.04</v>
      </c>
      <c r="J12" s="30">
        <v>0.27500000000000002</v>
      </c>
      <c r="K12" s="30">
        <v>-0.2162</v>
      </c>
      <c r="L12" s="30">
        <v>0.24779999999999999</v>
      </c>
      <c r="M12" s="30">
        <v>0.52180000000000004</v>
      </c>
    </row>
    <row r="13" spans="1:13" ht="15" customHeight="1" x14ac:dyDescent="0.25">
      <c r="A13" s="2" t="s">
        <v>15</v>
      </c>
      <c r="B13" s="2" t="s">
        <v>33</v>
      </c>
      <c r="C13" s="2" t="s">
        <v>34</v>
      </c>
      <c r="D13" s="2" t="s">
        <v>18</v>
      </c>
      <c r="E13" s="3">
        <v>12410</v>
      </c>
      <c r="F13" s="30">
        <v>4.5403000000000002</v>
      </c>
      <c r="G13" s="30">
        <v>2.7437999999999998</v>
      </c>
      <c r="H13" s="30">
        <v>-0.25729999999999997</v>
      </c>
      <c r="I13" s="3">
        <v>-7.98</v>
      </c>
      <c r="J13" s="30">
        <v>0.28189999999999998</v>
      </c>
      <c r="K13" s="30">
        <v>-0.1638</v>
      </c>
      <c r="L13" s="30">
        <v>0.2422</v>
      </c>
      <c r="M13" s="30">
        <v>0.52639999999999998</v>
      </c>
    </row>
    <row r="14" spans="1:13" ht="15" customHeight="1" x14ac:dyDescent="0.25">
      <c r="A14" s="2" t="s">
        <v>15</v>
      </c>
      <c r="B14" s="2" t="s">
        <v>35</v>
      </c>
      <c r="C14" s="2" t="s">
        <v>36</v>
      </c>
      <c r="D14" s="2" t="s">
        <v>18</v>
      </c>
      <c r="E14" s="3">
        <v>12410</v>
      </c>
      <c r="F14" s="30">
        <v>11.157400000000001</v>
      </c>
      <c r="G14" s="30">
        <v>4.9676999999999998</v>
      </c>
      <c r="H14" s="30">
        <v>0.72550000000000003</v>
      </c>
      <c r="I14" s="3">
        <v>23.9</v>
      </c>
      <c r="J14" s="30">
        <v>8.6599999999999996E-2</v>
      </c>
      <c r="K14" s="30">
        <v>-7.8100000000000003E-2</v>
      </c>
      <c r="L14" s="30">
        <v>-0.13439999999999999</v>
      </c>
      <c r="M14" s="30">
        <v>0.2235</v>
      </c>
    </row>
    <row r="15" spans="1:13" ht="15" customHeight="1" x14ac:dyDescent="0.25">
      <c r="A15" s="2" t="s">
        <v>15</v>
      </c>
      <c r="B15" s="2" t="s">
        <v>37</v>
      </c>
      <c r="C15" s="2" t="s">
        <v>38</v>
      </c>
      <c r="D15" s="2" t="s">
        <v>18</v>
      </c>
      <c r="E15" s="3">
        <v>12410</v>
      </c>
      <c r="F15" s="30">
        <v>10.200200000000001</v>
      </c>
      <c r="G15" s="30">
        <v>4.0975000000000001</v>
      </c>
      <c r="H15" s="30">
        <v>0.2339</v>
      </c>
      <c r="I15" s="3">
        <v>9.0399999999999991</v>
      </c>
      <c r="J15" s="30">
        <v>8.2400000000000001E-2</v>
      </c>
      <c r="K15" s="30">
        <v>-4.53E-2</v>
      </c>
      <c r="L15" s="30">
        <v>-0.152</v>
      </c>
      <c r="M15" s="30">
        <v>0.187</v>
      </c>
    </row>
    <row r="16" spans="1:13" ht="15" customHeight="1" x14ac:dyDescent="0.25">
      <c r="A16" s="2" t="s">
        <v>15</v>
      </c>
      <c r="B16" s="2" t="s">
        <v>39</v>
      </c>
      <c r="C16" s="2" t="s">
        <v>40</v>
      </c>
      <c r="D16" s="2" t="s">
        <v>18</v>
      </c>
      <c r="E16" s="3">
        <v>12410</v>
      </c>
      <c r="F16" s="30">
        <v>9.7951999999999995</v>
      </c>
      <c r="G16" s="30">
        <v>4.3899999999999997</v>
      </c>
      <c r="H16" s="30">
        <v>0.15440000000000001</v>
      </c>
      <c r="I16" s="3">
        <v>5.29</v>
      </c>
      <c r="J16" s="30">
        <v>9.74E-2</v>
      </c>
      <c r="K16" s="30">
        <v>-5.3499999999999999E-2</v>
      </c>
      <c r="L16" s="30">
        <v>-0.1148</v>
      </c>
      <c r="M16" s="30">
        <v>0.22600000000000001</v>
      </c>
    </row>
    <row r="17" spans="1:13" ht="15" customHeight="1" x14ac:dyDescent="0.25">
      <c r="A17" s="4" t="s">
        <v>41</v>
      </c>
      <c r="B17" s="4" t="s">
        <v>16</v>
      </c>
      <c r="C17" s="4" t="s">
        <v>17</v>
      </c>
      <c r="D17" s="4" t="s">
        <v>18</v>
      </c>
      <c r="E17" s="5">
        <v>12410</v>
      </c>
      <c r="F17" s="32">
        <v>9.1174999999999997</v>
      </c>
      <c r="G17" s="31">
        <v>4.0746000000000002</v>
      </c>
      <c r="H17" s="31">
        <v>6.0499999999999998E-2</v>
      </c>
      <c r="I17" s="6">
        <v>2.25</v>
      </c>
      <c r="J17" s="31">
        <v>0.12330000000000001</v>
      </c>
      <c r="K17" s="32">
        <v>-0.10970000000000001</v>
      </c>
      <c r="L17" s="31">
        <v>-2.1299999999999999E-2</v>
      </c>
      <c r="M17" s="31">
        <v>0.29949999999999999</v>
      </c>
    </row>
    <row r="18" spans="1:13" ht="15" customHeight="1" x14ac:dyDescent="0.25">
      <c r="A18" s="4" t="s">
        <v>41</v>
      </c>
      <c r="B18" s="4" t="s">
        <v>19</v>
      </c>
      <c r="C18" s="4" t="s">
        <v>20</v>
      </c>
      <c r="D18" s="4" t="s">
        <v>18</v>
      </c>
      <c r="E18" s="5">
        <v>12410</v>
      </c>
      <c r="F18" s="31">
        <v>10.3283</v>
      </c>
      <c r="G18" s="31">
        <v>5.0358999999999998</v>
      </c>
      <c r="H18" s="31">
        <v>4.4900000000000002E-2</v>
      </c>
      <c r="I18" s="6">
        <v>1.19</v>
      </c>
      <c r="J18" s="31">
        <v>0.16739999999999999</v>
      </c>
      <c r="K18" s="31">
        <v>-6.1400000000000003E-2</v>
      </c>
      <c r="L18" s="31">
        <v>1.0999999999999999E-2</v>
      </c>
      <c r="M18" s="31">
        <v>0.3422</v>
      </c>
    </row>
    <row r="19" spans="1:13" ht="15" customHeight="1" x14ac:dyDescent="0.25">
      <c r="A19" s="4" t="s">
        <v>41</v>
      </c>
      <c r="B19" s="4" t="s">
        <v>21</v>
      </c>
      <c r="C19" s="4" t="s">
        <v>22</v>
      </c>
      <c r="D19" s="4" t="s">
        <v>18</v>
      </c>
      <c r="E19" s="5">
        <v>12410</v>
      </c>
      <c r="F19" s="32">
        <v>10.139099999999999</v>
      </c>
      <c r="G19" s="32">
        <v>4.57</v>
      </c>
      <c r="H19" s="32">
        <v>6.2600000000000003E-2</v>
      </c>
      <c r="I19" s="5">
        <v>2.08</v>
      </c>
      <c r="J19" s="32">
        <v>0.1089</v>
      </c>
      <c r="K19" s="32">
        <v>-0.11899999999999999</v>
      </c>
      <c r="L19" s="31">
        <v>-3.6700000000000003E-2</v>
      </c>
      <c r="M19" s="31">
        <v>0.2873</v>
      </c>
    </row>
    <row r="20" spans="1:13" ht="15" customHeight="1" x14ac:dyDescent="0.25">
      <c r="A20" s="4" t="s">
        <v>41</v>
      </c>
      <c r="B20" s="4" t="s">
        <v>23</v>
      </c>
      <c r="C20" s="4" t="s">
        <v>24</v>
      </c>
      <c r="D20" s="4" t="s">
        <v>18</v>
      </c>
      <c r="E20" s="5">
        <v>12410</v>
      </c>
      <c r="F20" s="32">
        <v>9.6014999999999997</v>
      </c>
      <c r="G20" s="31">
        <v>4.4954000000000001</v>
      </c>
      <c r="H20" s="31">
        <v>5.3699999999999998E-2</v>
      </c>
      <c r="I20" s="6">
        <v>1.77</v>
      </c>
      <c r="J20" s="32">
        <v>0.1158</v>
      </c>
      <c r="K20" s="32">
        <v>-0.1062</v>
      </c>
      <c r="L20" s="31">
        <v>-3.5299999999999998E-2</v>
      </c>
      <c r="M20" s="32">
        <v>0.29310000000000003</v>
      </c>
    </row>
    <row r="21" spans="1:13" ht="15" customHeight="1" x14ac:dyDescent="0.25">
      <c r="A21" s="4" t="s">
        <v>41</v>
      </c>
      <c r="B21" s="4" t="s">
        <v>25</v>
      </c>
      <c r="C21" s="4" t="s">
        <v>26</v>
      </c>
      <c r="D21" s="4" t="s">
        <v>18</v>
      </c>
      <c r="E21" s="5">
        <v>12410</v>
      </c>
      <c r="F21" s="31">
        <v>6.6932999999999998</v>
      </c>
      <c r="G21" s="31">
        <v>3.2222</v>
      </c>
      <c r="H21" s="31">
        <v>2.64E-2</v>
      </c>
      <c r="I21" s="6">
        <v>0.84</v>
      </c>
      <c r="J21" s="31">
        <v>0.2087</v>
      </c>
      <c r="K21" s="31">
        <v>-5.7000000000000002E-3</v>
      </c>
      <c r="L21" s="32">
        <v>2.52E-2</v>
      </c>
      <c r="M21" s="32">
        <v>0.35239999999999999</v>
      </c>
    </row>
    <row r="22" spans="1:13" ht="15" customHeight="1" x14ac:dyDescent="0.25">
      <c r="A22" s="4" t="s">
        <v>41</v>
      </c>
      <c r="B22" s="4" t="s">
        <v>27</v>
      </c>
      <c r="C22" s="4" t="s">
        <v>28</v>
      </c>
      <c r="D22" s="4" t="s">
        <v>18</v>
      </c>
      <c r="E22" s="5">
        <v>12410</v>
      </c>
      <c r="F22" s="31">
        <v>6.9809999999999999</v>
      </c>
      <c r="G22" s="31">
        <v>3.3098999999999998</v>
      </c>
      <c r="H22" s="31">
        <v>2.7099999999999999E-2</v>
      </c>
      <c r="I22" s="6">
        <v>0.82</v>
      </c>
      <c r="J22" s="31">
        <v>0.19600000000000001</v>
      </c>
      <c r="K22" s="31">
        <v>-6.1000000000000004E-3</v>
      </c>
      <c r="L22" s="32">
        <v>8.0000000000000004E-4</v>
      </c>
      <c r="M22" s="32">
        <v>0.3347</v>
      </c>
    </row>
    <row r="23" spans="1:13" ht="15" customHeight="1" x14ac:dyDescent="0.25">
      <c r="A23" s="4" t="s">
        <v>41</v>
      </c>
      <c r="B23" s="4" t="s">
        <v>29</v>
      </c>
      <c r="C23" s="4" t="s">
        <v>30</v>
      </c>
      <c r="D23" s="4" t="s">
        <v>18</v>
      </c>
      <c r="E23" s="5">
        <v>12410</v>
      </c>
      <c r="F23" s="31">
        <v>6.6383999999999999</v>
      </c>
      <c r="G23" s="31">
        <v>3.2343999999999999</v>
      </c>
      <c r="H23" s="31">
        <v>2.8199999999999999E-2</v>
      </c>
      <c r="I23" s="6">
        <v>0.91</v>
      </c>
      <c r="J23" s="31">
        <v>0.19159999999999999</v>
      </c>
      <c r="K23" s="31">
        <v>-1.3100000000000001E-2</v>
      </c>
      <c r="L23" s="32">
        <v>2E-3</v>
      </c>
      <c r="M23" s="32">
        <v>0.33710000000000001</v>
      </c>
    </row>
    <row r="24" spans="1:13" ht="15" customHeight="1" x14ac:dyDescent="0.25">
      <c r="A24" s="4" t="s">
        <v>41</v>
      </c>
      <c r="B24" s="4" t="s">
        <v>31</v>
      </c>
      <c r="C24" s="4" t="s">
        <v>32</v>
      </c>
      <c r="D24" s="4" t="s">
        <v>18</v>
      </c>
      <c r="E24" s="5">
        <v>12410</v>
      </c>
      <c r="F24" s="31">
        <v>3.7081</v>
      </c>
      <c r="G24" s="31">
        <v>2.2963</v>
      </c>
      <c r="H24" s="31">
        <v>1.9300000000000001E-2</v>
      </c>
      <c r="I24" s="6">
        <v>0.57999999999999996</v>
      </c>
      <c r="J24" s="31">
        <v>0.45810000000000001</v>
      </c>
      <c r="K24" s="31">
        <v>0.17680000000000001</v>
      </c>
      <c r="L24" s="31">
        <v>0.34920000000000001</v>
      </c>
      <c r="M24" s="31">
        <v>0.62909999999999999</v>
      </c>
    </row>
    <row r="25" spans="1:13" ht="15" customHeight="1" x14ac:dyDescent="0.25">
      <c r="A25" s="4" t="s">
        <v>41</v>
      </c>
      <c r="B25" s="4" t="s">
        <v>33</v>
      </c>
      <c r="C25" s="4" t="s">
        <v>34</v>
      </c>
      <c r="D25" s="4" t="s">
        <v>18</v>
      </c>
      <c r="E25" s="5">
        <v>12410</v>
      </c>
      <c r="F25" s="31">
        <v>3.8761000000000001</v>
      </c>
      <c r="G25" s="31">
        <v>2.3826999999999998</v>
      </c>
      <c r="H25" s="31">
        <v>2.0299999999999999E-2</v>
      </c>
      <c r="I25" s="6">
        <v>0.63</v>
      </c>
      <c r="J25" s="31">
        <v>0.43290000000000001</v>
      </c>
      <c r="K25" s="31">
        <v>0.15179999999999999</v>
      </c>
      <c r="L25" s="31">
        <v>0.318</v>
      </c>
      <c r="M25" s="31">
        <v>0.60560000000000003</v>
      </c>
    </row>
    <row r="26" spans="1:13" ht="15" customHeight="1" x14ac:dyDescent="0.25">
      <c r="A26" s="4" t="s">
        <v>41</v>
      </c>
      <c r="B26" s="4" t="s">
        <v>35</v>
      </c>
      <c r="C26" s="4" t="s">
        <v>36</v>
      </c>
      <c r="D26" s="4" t="s">
        <v>18</v>
      </c>
      <c r="E26" s="5">
        <v>12410</v>
      </c>
      <c r="F26" s="32">
        <v>11.375400000000001</v>
      </c>
      <c r="G26" s="31">
        <v>4.6792999999999996</v>
      </c>
      <c r="H26" s="31">
        <v>6.6400000000000001E-2</v>
      </c>
      <c r="I26" s="6">
        <v>2.19</v>
      </c>
      <c r="J26" s="31">
        <v>8.6800000000000002E-2</v>
      </c>
      <c r="K26" s="32">
        <v>-0.1206</v>
      </c>
      <c r="L26" s="31">
        <v>-6.9000000000000006E-2</v>
      </c>
      <c r="M26" s="31">
        <v>0.2419</v>
      </c>
    </row>
    <row r="27" spans="1:13" ht="15" customHeight="1" x14ac:dyDescent="0.25">
      <c r="A27" s="4" t="s">
        <v>41</v>
      </c>
      <c r="B27" s="4" t="s">
        <v>37</v>
      </c>
      <c r="C27" s="4" t="s">
        <v>38</v>
      </c>
      <c r="D27" s="4" t="s">
        <v>18</v>
      </c>
      <c r="E27" s="5">
        <v>12410</v>
      </c>
      <c r="F27" s="32">
        <v>10.5406</v>
      </c>
      <c r="G27" s="31">
        <v>4.0369999999999999</v>
      </c>
      <c r="H27" s="31">
        <v>6.9599999999999995E-2</v>
      </c>
      <c r="I27" s="6">
        <v>2.69</v>
      </c>
      <c r="J27" s="31">
        <v>8.6199999999999999E-2</v>
      </c>
      <c r="K27" s="32">
        <v>-0.1163</v>
      </c>
      <c r="L27" s="31">
        <v>-7.3200000000000001E-2</v>
      </c>
      <c r="M27" s="31">
        <v>0.22919999999999999</v>
      </c>
    </row>
    <row r="28" spans="1:13" ht="15" customHeight="1" x14ac:dyDescent="0.25">
      <c r="A28" s="4" t="s">
        <v>41</v>
      </c>
      <c r="B28" s="4" t="s">
        <v>39</v>
      </c>
      <c r="C28" s="4" t="s">
        <v>40</v>
      </c>
      <c r="D28" s="4" t="s">
        <v>18</v>
      </c>
      <c r="E28" s="5">
        <v>12410</v>
      </c>
      <c r="F28" s="32">
        <v>10.049899999999999</v>
      </c>
      <c r="G28" s="31">
        <v>4.3155999999999999</v>
      </c>
      <c r="H28" s="31">
        <v>6.4500000000000002E-2</v>
      </c>
      <c r="I28" s="6">
        <v>2.21</v>
      </c>
      <c r="J28" s="31">
        <v>0.1079</v>
      </c>
      <c r="K28" s="32">
        <v>-0.109</v>
      </c>
      <c r="L28" s="31">
        <v>-4.5499999999999999E-2</v>
      </c>
      <c r="M28" s="31">
        <v>0.2697</v>
      </c>
    </row>
    <row r="29" spans="1:13" ht="18" customHeight="1" x14ac:dyDescent="0.25">
      <c r="A29" s="7" t="s">
        <v>42</v>
      </c>
      <c r="B29" s="7" t="s">
        <v>43</v>
      </c>
      <c r="C29" s="7" t="s">
        <v>44</v>
      </c>
      <c r="D29" s="7" t="s">
        <v>45</v>
      </c>
      <c r="E29" s="8">
        <v>12410</v>
      </c>
      <c r="F29" s="33">
        <v>8.3606999999999996</v>
      </c>
      <c r="G29" s="33">
        <v>4.0616000000000003</v>
      </c>
      <c r="H29" s="33">
        <v>0.30730000000000002</v>
      </c>
      <c r="I29" s="8">
        <v>9.7542000000000009</v>
      </c>
      <c r="J29" s="33">
        <v>0.15290000000000001</v>
      </c>
      <c r="K29" s="33">
        <v>-0.1023</v>
      </c>
      <c r="L29" s="33">
        <v>-4.4999999999999997E-3</v>
      </c>
      <c r="M29" s="33">
        <v>0.32500000000000001</v>
      </c>
    </row>
    <row r="30" spans="1:13" ht="18" customHeight="1" x14ac:dyDescent="0.25">
      <c r="A30" s="9" t="s">
        <v>46</v>
      </c>
      <c r="B30" s="9" t="s">
        <v>43</v>
      </c>
      <c r="C30" s="9" t="s">
        <v>44</v>
      </c>
      <c r="D30" s="9" t="s">
        <v>45</v>
      </c>
      <c r="E30" s="10">
        <v>12410</v>
      </c>
      <c r="F30" s="34">
        <v>8.2540999999999993</v>
      </c>
      <c r="G30" s="34">
        <v>3.8043999999999998</v>
      </c>
      <c r="H30" s="34">
        <v>4.53E-2</v>
      </c>
      <c r="I30" s="10">
        <v>1.5133000000000001</v>
      </c>
      <c r="J30" s="34">
        <v>0.1903</v>
      </c>
      <c r="K30" s="34">
        <v>-3.6499999999999998E-2</v>
      </c>
      <c r="L30" s="34">
        <v>3.5400000000000001E-2</v>
      </c>
      <c r="M30" s="34">
        <v>0.3518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F33" sqref="F33"/>
    </sheetView>
  </sheetViews>
  <sheetFormatPr defaultRowHeight="15" x14ac:dyDescent="0.25"/>
  <cols>
    <col min="1" max="1" width="14" customWidth="1"/>
    <col min="2" max="2" width="10" customWidth="1"/>
    <col min="3" max="3" width="6" customWidth="1"/>
    <col min="4" max="4" width="18" customWidth="1"/>
    <col min="5" max="13" width="10" customWidth="1"/>
  </cols>
  <sheetData>
    <row r="1" spans="1:13" ht="24" customHeight="1" x14ac:dyDescent="0.25">
      <c r="A1" s="25" t="s">
        <v>47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4.1" customHeight="1" x14ac:dyDescent="0.25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4" spans="1:13" ht="36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15" customHeight="1" x14ac:dyDescent="0.25">
      <c r="A5" s="2" t="s">
        <v>15</v>
      </c>
      <c r="B5" s="2" t="s">
        <v>16</v>
      </c>
      <c r="C5" s="2" t="s">
        <v>17</v>
      </c>
      <c r="D5" s="2" t="s">
        <v>18</v>
      </c>
      <c r="E5" s="3">
        <v>408</v>
      </c>
      <c r="F5" s="30">
        <v>78.585499999999996</v>
      </c>
      <c r="G5" s="30">
        <v>57.649299999999997</v>
      </c>
      <c r="H5" s="30">
        <v>3.8010999999999999</v>
      </c>
      <c r="I5" s="35">
        <v>4.6399999999999997</v>
      </c>
      <c r="J5" s="30">
        <v>0.48699999999999999</v>
      </c>
      <c r="K5" s="30">
        <v>0.1608</v>
      </c>
      <c r="L5" s="30">
        <v>0.43159999999999998</v>
      </c>
      <c r="M5" s="30">
        <v>0.68869999999999998</v>
      </c>
    </row>
    <row r="6" spans="1:13" ht="15" customHeight="1" x14ac:dyDescent="0.25">
      <c r="A6" s="2" t="s">
        <v>15</v>
      </c>
      <c r="B6" s="2" t="s">
        <v>19</v>
      </c>
      <c r="C6" s="2" t="s">
        <v>20</v>
      </c>
      <c r="D6" s="2" t="s">
        <v>18</v>
      </c>
      <c r="E6" s="3">
        <v>408</v>
      </c>
      <c r="F6" s="30">
        <v>101.2701</v>
      </c>
      <c r="G6" s="30">
        <v>76.096800000000002</v>
      </c>
      <c r="H6" s="30">
        <v>26.132899999999999</v>
      </c>
      <c r="I6" s="35">
        <v>22.79</v>
      </c>
      <c r="J6" s="30">
        <v>0.59179999999999999</v>
      </c>
      <c r="K6" s="30">
        <v>0.1139</v>
      </c>
      <c r="L6" s="30">
        <v>0.5323</v>
      </c>
      <c r="M6" s="30">
        <v>0.7571</v>
      </c>
    </row>
    <row r="7" spans="1:13" ht="15" customHeight="1" x14ac:dyDescent="0.25">
      <c r="A7" s="2" t="s">
        <v>15</v>
      </c>
      <c r="B7" s="2" t="s">
        <v>21</v>
      </c>
      <c r="C7" s="2" t="s">
        <v>22</v>
      </c>
      <c r="D7" s="2" t="s">
        <v>18</v>
      </c>
      <c r="E7" s="3">
        <v>408</v>
      </c>
      <c r="F7" s="30">
        <v>86.720600000000005</v>
      </c>
      <c r="G7" s="30">
        <v>63.298299999999998</v>
      </c>
      <c r="H7" s="30">
        <v>-1.4715</v>
      </c>
      <c r="I7" s="35">
        <v>-1.61</v>
      </c>
      <c r="J7" s="30">
        <v>0.47670000000000001</v>
      </c>
      <c r="K7" s="30">
        <v>0.15620000000000001</v>
      </c>
      <c r="L7" s="30">
        <v>0.41670000000000001</v>
      </c>
      <c r="M7" s="30">
        <v>0.67669999999999997</v>
      </c>
    </row>
    <row r="8" spans="1:13" ht="15" customHeight="1" x14ac:dyDescent="0.25">
      <c r="A8" s="2" t="s">
        <v>15</v>
      </c>
      <c r="B8" s="2" t="s">
        <v>23</v>
      </c>
      <c r="C8" s="2" t="s">
        <v>24</v>
      </c>
      <c r="D8" s="2" t="s">
        <v>18</v>
      </c>
      <c r="E8" s="3">
        <v>408</v>
      </c>
      <c r="F8" s="30">
        <v>91.431899999999999</v>
      </c>
      <c r="G8" s="30">
        <v>69.770300000000006</v>
      </c>
      <c r="H8" s="30">
        <v>22.2</v>
      </c>
      <c r="I8" s="35">
        <v>24.09</v>
      </c>
      <c r="J8" s="30">
        <v>0.505</v>
      </c>
      <c r="K8" s="30">
        <v>-8.6900000000000005E-2</v>
      </c>
      <c r="L8" s="30">
        <v>0.44850000000000001</v>
      </c>
      <c r="M8" s="30">
        <v>0.70089999999999997</v>
      </c>
    </row>
    <row r="9" spans="1:13" ht="15" customHeight="1" x14ac:dyDescent="0.25">
      <c r="A9" s="2" t="s">
        <v>15</v>
      </c>
      <c r="B9" s="2" t="s">
        <v>25</v>
      </c>
      <c r="C9" s="2" t="s">
        <v>26</v>
      </c>
      <c r="D9" s="2" t="s">
        <v>18</v>
      </c>
      <c r="E9" s="3">
        <v>408</v>
      </c>
      <c r="F9" s="30">
        <v>85.834999999999994</v>
      </c>
      <c r="G9" s="30">
        <v>60.407200000000003</v>
      </c>
      <c r="H9" s="30">
        <v>18.766500000000001</v>
      </c>
      <c r="I9" s="35">
        <v>19.63</v>
      </c>
      <c r="J9" s="30">
        <v>0.54979999999999996</v>
      </c>
      <c r="K9" s="30">
        <v>-6.9999999999999999E-4</v>
      </c>
      <c r="L9" s="30">
        <v>0.50580000000000003</v>
      </c>
      <c r="M9" s="30">
        <v>0.73250000000000004</v>
      </c>
    </row>
    <row r="10" spans="1:13" ht="15" customHeight="1" x14ac:dyDescent="0.25">
      <c r="A10" s="2" t="s">
        <v>15</v>
      </c>
      <c r="B10" s="2" t="s">
        <v>27</v>
      </c>
      <c r="C10" s="2" t="s">
        <v>28</v>
      </c>
      <c r="D10" s="2" t="s">
        <v>18</v>
      </c>
      <c r="E10" s="3">
        <v>408</v>
      </c>
      <c r="F10" s="30">
        <v>83.054699999999997</v>
      </c>
      <c r="G10" s="30">
        <v>59.413200000000003</v>
      </c>
      <c r="H10" s="30">
        <v>14.112299999999999</v>
      </c>
      <c r="I10" s="35">
        <v>14.08</v>
      </c>
      <c r="J10" s="30">
        <v>0.55720000000000003</v>
      </c>
      <c r="K10" s="30">
        <v>-5.4000000000000003E-3</v>
      </c>
      <c r="L10" s="30">
        <v>0.5262</v>
      </c>
      <c r="M10" s="30">
        <v>0.74060000000000004</v>
      </c>
    </row>
    <row r="11" spans="1:13" ht="15" customHeight="1" x14ac:dyDescent="0.25">
      <c r="A11" s="2" t="s">
        <v>15</v>
      </c>
      <c r="B11" s="2" t="s">
        <v>29</v>
      </c>
      <c r="C11" s="2" t="s">
        <v>30</v>
      </c>
      <c r="D11" s="2" t="s">
        <v>18</v>
      </c>
      <c r="E11" s="3">
        <v>408</v>
      </c>
      <c r="F11" s="30">
        <v>75.121799999999993</v>
      </c>
      <c r="G11" s="30">
        <v>54.896000000000001</v>
      </c>
      <c r="H11" s="30">
        <v>9.5160999999999998</v>
      </c>
      <c r="I11" s="35">
        <v>10.07</v>
      </c>
      <c r="J11" s="30">
        <v>0.54720000000000002</v>
      </c>
      <c r="K11" s="30">
        <v>3.6400000000000002E-2</v>
      </c>
      <c r="L11" s="30">
        <v>0.53400000000000003</v>
      </c>
      <c r="M11" s="30">
        <v>0.73099999999999998</v>
      </c>
    </row>
    <row r="12" spans="1:13" ht="15" customHeight="1" x14ac:dyDescent="0.25">
      <c r="A12" s="2" t="s">
        <v>15</v>
      </c>
      <c r="B12" s="2" t="s">
        <v>31</v>
      </c>
      <c r="C12" s="2" t="s">
        <v>32</v>
      </c>
      <c r="D12" s="2" t="s">
        <v>18</v>
      </c>
      <c r="E12" s="3">
        <v>408</v>
      </c>
      <c r="F12" s="30">
        <v>58.851999999999997</v>
      </c>
      <c r="G12" s="30">
        <v>44.647199999999998</v>
      </c>
      <c r="H12" s="30">
        <v>-7.0945999999999998</v>
      </c>
      <c r="I12" s="35">
        <v>-7.06</v>
      </c>
      <c r="J12" s="30">
        <v>0.67369999999999997</v>
      </c>
      <c r="K12" s="30">
        <v>0.38269999999999998</v>
      </c>
      <c r="L12" s="30">
        <v>0.6573</v>
      </c>
      <c r="M12" s="30">
        <v>0.81579999999999997</v>
      </c>
    </row>
    <row r="13" spans="1:13" ht="15" customHeight="1" x14ac:dyDescent="0.25">
      <c r="A13" s="2" t="s">
        <v>15</v>
      </c>
      <c r="B13" s="2" t="s">
        <v>33</v>
      </c>
      <c r="C13" s="2" t="s">
        <v>34</v>
      </c>
      <c r="D13" s="2" t="s">
        <v>18</v>
      </c>
      <c r="E13" s="3">
        <v>408</v>
      </c>
      <c r="F13" s="30">
        <v>58.610799999999998</v>
      </c>
      <c r="G13" s="30">
        <v>43.4026</v>
      </c>
      <c r="H13" s="30">
        <v>-7.8470000000000004</v>
      </c>
      <c r="I13" s="35">
        <v>-8</v>
      </c>
      <c r="J13" s="30">
        <v>0.67959999999999998</v>
      </c>
      <c r="K13" s="30">
        <v>0.38319999999999999</v>
      </c>
      <c r="L13" s="30">
        <v>0.6643</v>
      </c>
      <c r="M13" s="30">
        <v>0.82040000000000002</v>
      </c>
    </row>
    <row r="14" spans="1:13" ht="15" customHeight="1" x14ac:dyDescent="0.25">
      <c r="A14" s="2" t="s">
        <v>15</v>
      </c>
      <c r="B14" s="2" t="s">
        <v>35</v>
      </c>
      <c r="C14" s="2" t="s">
        <v>36</v>
      </c>
      <c r="D14" s="2" t="s">
        <v>18</v>
      </c>
      <c r="E14" s="3">
        <v>408</v>
      </c>
      <c r="F14" s="30">
        <v>113.9192</v>
      </c>
      <c r="G14" s="30">
        <v>80.545400000000001</v>
      </c>
      <c r="H14" s="30">
        <v>22.013500000000001</v>
      </c>
      <c r="I14" s="35">
        <v>23.84</v>
      </c>
      <c r="J14" s="30">
        <v>0.32679999999999998</v>
      </c>
      <c r="K14" s="30">
        <v>-0.25900000000000001</v>
      </c>
      <c r="L14" s="30">
        <v>0.2777</v>
      </c>
      <c r="M14" s="30">
        <v>0.55700000000000005</v>
      </c>
    </row>
    <row r="15" spans="1:13" ht="15" customHeight="1" x14ac:dyDescent="0.25">
      <c r="A15" s="2" t="s">
        <v>15</v>
      </c>
      <c r="B15" s="2" t="s">
        <v>37</v>
      </c>
      <c r="C15" s="2" t="s">
        <v>38</v>
      </c>
      <c r="D15" s="2" t="s">
        <v>18</v>
      </c>
      <c r="E15" s="3">
        <v>408</v>
      </c>
      <c r="F15" s="30">
        <v>93.863799999999998</v>
      </c>
      <c r="G15" s="30">
        <v>61.6843</v>
      </c>
      <c r="H15" s="30">
        <v>7.0940000000000003</v>
      </c>
      <c r="I15" s="35">
        <v>9.02</v>
      </c>
      <c r="J15" s="30">
        <v>0.3755</v>
      </c>
      <c r="K15" s="30">
        <v>4.3400000000000001E-2</v>
      </c>
      <c r="L15" s="30">
        <v>0.29210000000000003</v>
      </c>
      <c r="M15" s="30">
        <v>0.5756</v>
      </c>
    </row>
    <row r="16" spans="1:13" ht="15" customHeight="1" x14ac:dyDescent="0.25">
      <c r="A16" s="2" t="s">
        <v>15</v>
      </c>
      <c r="B16" s="2" t="s">
        <v>39</v>
      </c>
      <c r="C16" s="2" t="s">
        <v>40</v>
      </c>
      <c r="D16" s="2" t="s">
        <v>18</v>
      </c>
      <c r="E16" s="3">
        <v>408</v>
      </c>
      <c r="F16" s="30">
        <v>90.490600000000001</v>
      </c>
      <c r="G16" s="30">
        <v>63.605499999999999</v>
      </c>
      <c r="H16" s="30">
        <v>4.6940999999999997</v>
      </c>
      <c r="I16" s="35">
        <v>5.29</v>
      </c>
      <c r="J16" s="30">
        <v>0.43130000000000002</v>
      </c>
      <c r="K16" s="30">
        <v>9.6699999999999994E-2</v>
      </c>
      <c r="L16" s="30">
        <v>0.36659999999999998</v>
      </c>
      <c r="M16" s="30">
        <v>0.63690000000000002</v>
      </c>
    </row>
    <row r="17" spans="1:13" ht="15" customHeight="1" x14ac:dyDescent="0.25">
      <c r="A17" s="4" t="s">
        <v>41</v>
      </c>
      <c r="B17" s="4" t="s">
        <v>16</v>
      </c>
      <c r="C17" s="4" t="s">
        <v>17</v>
      </c>
      <c r="D17" s="4" t="s">
        <v>18</v>
      </c>
      <c r="E17" s="5">
        <v>408</v>
      </c>
      <c r="F17" s="31">
        <v>64.072500000000005</v>
      </c>
      <c r="G17" s="31">
        <v>44.676600000000001</v>
      </c>
      <c r="H17" s="31">
        <v>1.8117000000000001</v>
      </c>
      <c r="I17" s="36">
        <v>2.21</v>
      </c>
      <c r="J17" s="31">
        <v>0.6804</v>
      </c>
      <c r="K17" s="31">
        <v>0.44219999999999998</v>
      </c>
      <c r="L17" s="31">
        <v>0.63400000000000001</v>
      </c>
      <c r="M17" s="31">
        <v>0.81259999999999999</v>
      </c>
    </row>
    <row r="18" spans="1:13" ht="15" customHeight="1" x14ac:dyDescent="0.25">
      <c r="A18" s="4" t="s">
        <v>41</v>
      </c>
      <c r="B18" s="4" t="s">
        <v>19</v>
      </c>
      <c r="C18" s="4" t="s">
        <v>20</v>
      </c>
      <c r="D18" s="4" t="s">
        <v>48</v>
      </c>
      <c r="E18" s="5">
        <v>408</v>
      </c>
      <c r="F18" s="31">
        <v>72.253900000000002</v>
      </c>
      <c r="G18" s="31">
        <v>51.901000000000003</v>
      </c>
      <c r="H18" s="31">
        <v>1.3746</v>
      </c>
      <c r="I18" s="36">
        <v>1.2</v>
      </c>
      <c r="J18" s="31">
        <v>0.74760000000000004</v>
      </c>
      <c r="K18" s="31">
        <v>0.54890000000000005</v>
      </c>
      <c r="L18" s="31">
        <v>0.70430000000000004</v>
      </c>
      <c r="M18" s="31">
        <v>0.85440000000000005</v>
      </c>
    </row>
    <row r="19" spans="1:13" ht="15" customHeight="1" x14ac:dyDescent="0.25">
      <c r="A19" s="4" t="s">
        <v>41</v>
      </c>
      <c r="B19" s="4" t="s">
        <v>21</v>
      </c>
      <c r="C19" s="4" t="s">
        <v>22</v>
      </c>
      <c r="D19" s="4" t="s">
        <v>18</v>
      </c>
      <c r="E19" s="5">
        <v>408</v>
      </c>
      <c r="F19" s="31">
        <v>74.428799999999995</v>
      </c>
      <c r="G19" s="31">
        <v>51.220100000000002</v>
      </c>
      <c r="H19" s="32">
        <v>1.9016</v>
      </c>
      <c r="I19" s="39">
        <v>2.0699999999999998</v>
      </c>
      <c r="J19" s="31">
        <v>0.63580000000000003</v>
      </c>
      <c r="K19" s="31">
        <v>0.3785</v>
      </c>
      <c r="L19" s="31">
        <v>0.58150000000000002</v>
      </c>
      <c r="M19" s="31">
        <v>0.77980000000000005</v>
      </c>
    </row>
    <row r="20" spans="1:13" ht="15" customHeight="1" x14ac:dyDescent="0.25">
      <c r="A20" s="4" t="s">
        <v>41</v>
      </c>
      <c r="B20" s="4" t="s">
        <v>23</v>
      </c>
      <c r="C20" s="4" t="s">
        <v>24</v>
      </c>
      <c r="D20" s="4" t="s">
        <v>18</v>
      </c>
      <c r="E20" s="5">
        <v>408</v>
      </c>
      <c r="F20" s="31">
        <v>67.066999999999993</v>
      </c>
      <c r="G20" s="31">
        <v>47.347099999999998</v>
      </c>
      <c r="H20" s="31">
        <v>1.661</v>
      </c>
      <c r="I20" s="36">
        <v>1.8</v>
      </c>
      <c r="J20" s="31">
        <v>0.65990000000000004</v>
      </c>
      <c r="K20" s="31">
        <v>0.41520000000000001</v>
      </c>
      <c r="L20" s="31">
        <v>0.60550000000000004</v>
      </c>
      <c r="M20" s="31">
        <v>0.79920000000000002</v>
      </c>
    </row>
    <row r="21" spans="1:13" ht="15" customHeight="1" x14ac:dyDescent="0.25">
      <c r="A21" s="4" t="s">
        <v>41</v>
      </c>
      <c r="B21" s="4" t="s">
        <v>25</v>
      </c>
      <c r="C21" s="4" t="s">
        <v>26</v>
      </c>
      <c r="D21" s="4" t="s">
        <v>18</v>
      </c>
      <c r="E21" s="5">
        <v>408</v>
      </c>
      <c r="F21" s="31">
        <v>62.346899999999998</v>
      </c>
      <c r="G21" s="31">
        <v>39.316899999999997</v>
      </c>
      <c r="H21" s="31">
        <v>0.80389999999999995</v>
      </c>
      <c r="I21" s="36">
        <v>0.84</v>
      </c>
      <c r="J21" s="31">
        <v>0.68930000000000002</v>
      </c>
      <c r="K21" s="31">
        <v>0.47199999999999998</v>
      </c>
      <c r="L21" s="31">
        <v>0.59719999999999995</v>
      </c>
      <c r="M21" s="31">
        <v>0.80900000000000005</v>
      </c>
    </row>
    <row r="22" spans="1:13" ht="15" customHeight="1" x14ac:dyDescent="0.25">
      <c r="A22" s="4" t="s">
        <v>41</v>
      </c>
      <c r="B22" s="4" t="s">
        <v>27</v>
      </c>
      <c r="C22" s="4" t="s">
        <v>28</v>
      </c>
      <c r="D22" s="4" t="s">
        <v>18</v>
      </c>
      <c r="E22" s="5">
        <v>408</v>
      </c>
      <c r="F22" s="31">
        <v>59.546300000000002</v>
      </c>
      <c r="G22" s="31">
        <v>39.2209</v>
      </c>
      <c r="H22" s="31">
        <v>0.82210000000000005</v>
      </c>
      <c r="I22" s="36">
        <v>0.82</v>
      </c>
      <c r="J22" s="31">
        <v>0.69810000000000005</v>
      </c>
      <c r="K22" s="31">
        <v>0.48320000000000002</v>
      </c>
      <c r="L22" s="31">
        <v>0.6149</v>
      </c>
      <c r="M22" s="31">
        <v>0.81799999999999995</v>
      </c>
    </row>
    <row r="23" spans="1:13" ht="15" customHeight="1" x14ac:dyDescent="0.25">
      <c r="A23" s="4" t="s">
        <v>41</v>
      </c>
      <c r="B23" s="4" t="s">
        <v>29</v>
      </c>
      <c r="C23" s="4" t="s">
        <v>30</v>
      </c>
      <c r="D23" s="4" t="s">
        <v>18</v>
      </c>
      <c r="E23" s="5">
        <v>408</v>
      </c>
      <c r="F23" s="31">
        <v>54.859699999999997</v>
      </c>
      <c r="G23" s="31">
        <v>37.466500000000003</v>
      </c>
      <c r="H23" s="31">
        <v>0.83130000000000004</v>
      </c>
      <c r="I23" s="36">
        <v>0.88</v>
      </c>
      <c r="J23" s="31">
        <v>0.70150000000000001</v>
      </c>
      <c r="K23" s="31">
        <v>0.48609999999999998</v>
      </c>
      <c r="L23" s="31">
        <v>0.62809999999999999</v>
      </c>
      <c r="M23" s="31">
        <v>0.81859999999999999</v>
      </c>
    </row>
    <row r="24" spans="1:13" ht="15" customHeight="1" x14ac:dyDescent="0.25">
      <c r="A24" s="4" t="s">
        <v>41</v>
      </c>
      <c r="B24" s="4" t="s">
        <v>31</v>
      </c>
      <c r="C24" s="4" t="s">
        <v>32</v>
      </c>
      <c r="D24" s="4" t="s">
        <v>49</v>
      </c>
      <c r="E24" s="5">
        <v>408</v>
      </c>
      <c r="F24" s="31">
        <v>33.877200000000002</v>
      </c>
      <c r="G24" s="31">
        <v>23.7057</v>
      </c>
      <c r="H24" s="31">
        <v>0.5766</v>
      </c>
      <c r="I24" s="36">
        <v>0.56999999999999995</v>
      </c>
      <c r="J24" s="31">
        <v>0.89259999999999995</v>
      </c>
      <c r="K24" s="31">
        <v>0.79549999999999998</v>
      </c>
      <c r="L24" s="31">
        <v>0.86980000000000002</v>
      </c>
      <c r="M24" s="31">
        <v>0.94259999999999999</v>
      </c>
    </row>
    <row r="25" spans="1:13" ht="15" customHeight="1" x14ac:dyDescent="0.25">
      <c r="A25" s="4" t="s">
        <v>41</v>
      </c>
      <c r="B25" s="4" t="s">
        <v>33</v>
      </c>
      <c r="C25" s="4" t="s">
        <v>34</v>
      </c>
      <c r="D25" s="4" t="s">
        <v>49</v>
      </c>
      <c r="E25" s="5">
        <v>408</v>
      </c>
      <c r="F25" s="31">
        <v>34.904800000000002</v>
      </c>
      <c r="G25" s="31">
        <v>24.689299999999999</v>
      </c>
      <c r="H25" s="31">
        <v>0.60319999999999996</v>
      </c>
      <c r="I25" s="36">
        <v>0.62</v>
      </c>
      <c r="J25" s="31">
        <v>0.88460000000000005</v>
      </c>
      <c r="K25" s="31">
        <v>0.78120000000000001</v>
      </c>
      <c r="L25" s="31">
        <v>0.85960000000000003</v>
      </c>
      <c r="M25" s="31">
        <v>0.93799999999999994</v>
      </c>
    </row>
    <row r="26" spans="1:13" ht="15" customHeight="1" x14ac:dyDescent="0.25">
      <c r="A26" s="4" t="s">
        <v>41</v>
      </c>
      <c r="B26" s="4" t="s">
        <v>35</v>
      </c>
      <c r="C26" s="4" t="s">
        <v>36</v>
      </c>
      <c r="D26" s="4" t="s">
        <v>18</v>
      </c>
      <c r="E26" s="5">
        <v>408</v>
      </c>
      <c r="F26" s="31">
        <v>88.046300000000002</v>
      </c>
      <c r="G26" s="31">
        <v>58.851300000000002</v>
      </c>
      <c r="H26" s="31">
        <v>1.9968999999999999</v>
      </c>
      <c r="I26" s="36">
        <v>2.16</v>
      </c>
      <c r="J26" s="31">
        <v>0.52500000000000002</v>
      </c>
      <c r="K26" s="31">
        <v>0.24790000000000001</v>
      </c>
      <c r="L26" s="31">
        <v>0.43240000000000001</v>
      </c>
      <c r="M26" s="31">
        <v>0.68610000000000004</v>
      </c>
    </row>
    <row r="27" spans="1:13" ht="15" customHeight="1" x14ac:dyDescent="0.25">
      <c r="A27" s="4" t="s">
        <v>41</v>
      </c>
      <c r="B27" s="4" t="s">
        <v>37</v>
      </c>
      <c r="C27" s="4" t="s">
        <v>38</v>
      </c>
      <c r="D27" s="4" t="s">
        <v>18</v>
      </c>
      <c r="E27" s="5">
        <v>408</v>
      </c>
      <c r="F27" s="31">
        <v>81.2089</v>
      </c>
      <c r="G27" s="31">
        <v>51.125599999999999</v>
      </c>
      <c r="H27" s="31">
        <v>2.1160000000000001</v>
      </c>
      <c r="I27" s="36">
        <v>2.69</v>
      </c>
      <c r="J27" s="31">
        <v>0.56120000000000003</v>
      </c>
      <c r="K27" s="31">
        <v>0.28389999999999999</v>
      </c>
      <c r="L27" s="31">
        <v>0.48720000000000002</v>
      </c>
      <c r="M27" s="31">
        <v>0.71609999999999996</v>
      </c>
    </row>
    <row r="28" spans="1:13" ht="15" customHeight="1" x14ac:dyDescent="0.25">
      <c r="A28" s="4" t="s">
        <v>41</v>
      </c>
      <c r="B28" s="4" t="s">
        <v>39</v>
      </c>
      <c r="C28" s="4" t="s">
        <v>40</v>
      </c>
      <c r="D28" s="4" t="s">
        <v>18</v>
      </c>
      <c r="E28" s="5">
        <v>408</v>
      </c>
      <c r="F28" s="31">
        <v>73.139399999999995</v>
      </c>
      <c r="G28" s="31">
        <v>47.920499999999997</v>
      </c>
      <c r="H28" s="31">
        <v>1.9726999999999999</v>
      </c>
      <c r="I28" s="36">
        <v>2.2200000000000002</v>
      </c>
      <c r="J28" s="31">
        <v>0.65410000000000001</v>
      </c>
      <c r="K28" s="31">
        <v>0.40989999999999999</v>
      </c>
      <c r="L28" s="31">
        <v>0.59299999999999997</v>
      </c>
      <c r="M28" s="31">
        <v>0.78920000000000001</v>
      </c>
    </row>
    <row r="29" spans="1:13" ht="18" customHeight="1" x14ac:dyDescent="0.25">
      <c r="A29" s="7" t="s">
        <v>42</v>
      </c>
      <c r="B29" s="7" t="s">
        <v>43</v>
      </c>
      <c r="C29" s="7" t="s">
        <v>44</v>
      </c>
      <c r="D29" s="7" t="s">
        <v>45</v>
      </c>
      <c r="E29" s="8">
        <v>408</v>
      </c>
      <c r="F29" s="33">
        <v>84.813000000000002</v>
      </c>
      <c r="G29" s="33">
        <v>61.284700000000001</v>
      </c>
      <c r="H29" s="33">
        <v>9.3263999999999996</v>
      </c>
      <c r="I29" s="37">
        <v>9.7317</v>
      </c>
      <c r="J29" s="33">
        <v>0.51680000000000004</v>
      </c>
      <c r="K29" s="33">
        <v>8.5099999999999995E-2</v>
      </c>
      <c r="L29" s="33">
        <v>0.47110000000000002</v>
      </c>
      <c r="M29" s="33">
        <v>0.70279999999999998</v>
      </c>
    </row>
    <row r="30" spans="1:13" ht="18" customHeight="1" x14ac:dyDescent="0.25">
      <c r="A30" s="9" t="s">
        <v>46</v>
      </c>
      <c r="B30" s="9" t="s">
        <v>43</v>
      </c>
      <c r="C30" s="9" t="s">
        <v>44</v>
      </c>
      <c r="D30" s="9" t="s">
        <v>45</v>
      </c>
      <c r="E30" s="10">
        <v>408</v>
      </c>
      <c r="F30" s="34">
        <v>63.812600000000003</v>
      </c>
      <c r="G30" s="34">
        <v>43.120100000000001</v>
      </c>
      <c r="H30" s="34">
        <v>1.3726</v>
      </c>
      <c r="I30" s="38">
        <v>1.5066999999999999</v>
      </c>
      <c r="J30" s="34">
        <v>0.69420000000000004</v>
      </c>
      <c r="K30" s="34">
        <v>0.47870000000000001</v>
      </c>
      <c r="L30" s="34">
        <v>0.63400000000000001</v>
      </c>
      <c r="M30" s="34">
        <v>0.81359999999999999</v>
      </c>
    </row>
    <row r="32" spans="1:13" x14ac:dyDescent="0.25">
      <c r="F32" s="40">
        <f>AVERAGE(F17:F28)</f>
        <v>63.812641666666671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showGridLines="0" workbookViewId="0">
      <selection sqref="A1:L1"/>
    </sheetView>
  </sheetViews>
  <sheetFormatPr defaultRowHeight="15" x14ac:dyDescent="0.25"/>
  <cols>
    <col min="1" max="1" width="8" customWidth="1"/>
    <col min="2" max="2" width="10" customWidth="1"/>
    <col min="3" max="3" width="6" customWidth="1"/>
    <col min="4" max="4" width="11" customWidth="1"/>
    <col min="5" max="5" width="9" customWidth="1"/>
    <col min="6" max="12" width="10" customWidth="1"/>
  </cols>
  <sheetData>
    <row r="1" spans="1:12" ht="24" customHeight="1" x14ac:dyDescent="0.25">
      <c r="A1" s="25" t="s">
        <v>50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4.1" customHeight="1" x14ac:dyDescent="0.25">
      <c r="A2" s="23" t="s">
        <v>51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36" customHeight="1" x14ac:dyDescent="0.25">
      <c r="A4" s="1" t="s">
        <v>52</v>
      </c>
      <c r="B4" s="1" t="s">
        <v>3</v>
      </c>
      <c r="C4" s="1" t="s">
        <v>4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</row>
    <row r="5" spans="1:12" ht="15" customHeight="1" x14ac:dyDescent="0.25">
      <c r="A5" s="11" t="s">
        <v>62</v>
      </c>
      <c r="B5" s="11" t="s">
        <v>16</v>
      </c>
      <c r="C5" s="11" t="s">
        <v>17</v>
      </c>
      <c r="D5" s="12">
        <v>-0.26500000000000001</v>
      </c>
      <c r="E5" s="12" t="s">
        <v>63</v>
      </c>
      <c r="F5" s="12">
        <v>2.44</v>
      </c>
      <c r="G5" s="12">
        <v>9.1999999999999998E-3</v>
      </c>
      <c r="H5" s="12">
        <v>-6.3600000000000004E-2</v>
      </c>
      <c r="I5" s="6">
        <v>7.46E-2</v>
      </c>
      <c r="J5" s="12">
        <v>4.8599999999999997E-2</v>
      </c>
      <c r="K5" s="12">
        <v>-9.5899999999999999E-2</v>
      </c>
      <c r="L5" s="12">
        <v>-2.1299999999999999E-2</v>
      </c>
    </row>
    <row r="6" spans="1:12" ht="15" customHeight="1" x14ac:dyDescent="0.25">
      <c r="A6" s="11" t="s">
        <v>62</v>
      </c>
      <c r="B6" s="11" t="s">
        <v>19</v>
      </c>
      <c r="C6" s="11" t="s">
        <v>20</v>
      </c>
      <c r="D6" s="12">
        <v>6.0000000000000001E-3</v>
      </c>
      <c r="E6" s="12" t="s">
        <v>64</v>
      </c>
      <c r="F6" s="12">
        <v>21.59</v>
      </c>
      <c r="G6" s="12">
        <v>1.6999999999999999E-3</v>
      </c>
      <c r="H6" s="12">
        <v>1.1999999999999999E-3</v>
      </c>
      <c r="I6" s="6">
        <v>3.4200000000000001E-2</v>
      </c>
      <c r="J6" s="12">
        <v>1.1999999999999999E-3</v>
      </c>
      <c r="K6" s="12">
        <v>-2.3199999999999998E-2</v>
      </c>
      <c r="L6" s="12">
        <v>1.0999999999999999E-2</v>
      </c>
    </row>
    <row r="7" spans="1:12" ht="15" customHeight="1" x14ac:dyDescent="0.25">
      <c r="A7" s="11" t="s">
        <v>62</v>
      </c>
      <c r="B7" s="11" t="s">
        <v>21</v>
      </c>
      <c r="C7" s="11" t="s">
        <v>22</v>
      </c>
      <c r="D7" s="12">
        <v>-0.375</v>
      </c>
      <c r="E7" s="12" t="s">
        <v>65</v>
      </c>
      <c r="F7" s="12">
        <v>-3.67</v>
      </c>
      <c r="G7" s="12">
        <v>-4.5999999999999999E-3</v>
      </c>
      <c r="H7" s="12">
        <v>-8.1199999999999994E-2</v>
      </c>
      <c r="I7" s="6">
        <v>6.9400000000000003E-2</v>
      </c>
      <c r="J7" s="12">
        <v>4.2099999999999999E-2</v>
      </c>
      <c r="K7" s="12">
        <v>-0.1061</v>
      </c>
      <c r="L7" s="12">
        <v>-3.6700000000000003E-2</v>
      </c>
    </row>
    <row r="8" spans="1:12" ht="15" customHeight="1" x14ac:dyDescent="0.25">
      <c r="A8" s="11" t="s">
        <v>62</v>
      </c>
      <c r="B8" s="11" t="s">
        <v>23</v>
      </c>
      <c r="C8" s="11" t="s">
        <v>24</v>
      </c>
      <c r="D8" s="12">
        <v>-6.5000000000000002E-2</v>
      </c>
      <c r="E8" s="12" t="s">
        <v>66</v>
      </c>
      <c r="F8" s="12">
        <v>22.32</v>
      </c>
      <c r="G8" s="12">
        <v>-5.4999999999999997E-3</v>
      </c>
      <c r="H8" s="12">
        <v>-1.49E-2</v>
      </c>
      <c r="I8" s="6">
        <v>3.5799999999999998E-2</v>
      </c>
      <c r="J8" s="12">
        <v>-5.0000000000000001E-4</v>
      </c>
      <c r="K8" s="12">
        <v>-7.1099999999999997E-2</v>
      </c>
      <c r="L8" s="12">
        <v>-3.5299999999999998E-2</v>
      </c>
    </row>
    <row r="9" spans="1:12" ht="15" customHeight="1" x14ac:dyDescent="0.25">
      <c r="A9" s="11" t="s">
        <v>62</v>
      </c>
      <c r="B9" s="11" t="s">
        <v>25</v>
      </c>
      <c r="C9" s="11" t="s">
        <v>26</v>
      </c>
      <c r="D9" s="12">
        <v>0.48099999999999998</v>
      </c>
      <c r="E9" s="12" t="s">
        <v>67</v>
      </c>
      <c r="F9" s="12">
        <v>18.809999999999999</v>
      </c>
      <c r="G9" s="12">
        <v>3.2899999999999999E-2</v>
      </c>
      <c r="H9" s="12">
        <v>0.14979999999999999</v>
      </c>
      <c r="I9" s="5">
        <v>-3.6799999999999999E-2</v>
      </c>
      <c r="J9" s="12">
        <v>-2.24E-2</v>
      </c>
      <c r="K9" s="12">
        <v>6.2E-2</v>
      </c>
      <c r="L9" s="12">
        <v>2.52E-2</v>
      </c>
    </row>
    <row r="10" spans="1:12" ht="15" customHeight="1" x14ac:dyDescent="0.25">
      <c r="A10" s="11" t="s">
        <v>62</v>
      </c>
      <c r="B10" s="11" t="s">
        <v>27</v>
      </c>
      <c r="C10" s="11" t="s">
        <v>28</v>
      </c>
      <c r="D10" s="12">
        <v>0.46800000000000003</v>
      </c>
      <c r="E10" s="12" t="s">
        <v>68</v>
      </c>
      <c r="F10" s="12">
        <v>13.28</v>
      </c>
      <c r="G10" s="12">
        <v>3.2500000000000001E-2</v>
      </c>
      <c r="H10" s="12">
        <v>0.1394</v>
      </c>
      <c r="I10" s="5">
        <v>-4.9500000000000002E-2</v>
      </c>
      <c r="J10" s="12">
        <v>-2.47E-2</v>
      </c>
      <c r="K10" s="12">
        <v>5.0299999999999997E-2</v>
      </c>
      <c r="L10" s="12">
        <v>8.0000000000000004E-4</v>
      </c>
    </row>
    <row r="11" spans="1:12" ht="15" customHeight="1" x14ac:dyDescent="0.25">
      <c r="A11" s="11" t="s">
        <v>62</v>
      </c>
      <c r="B11" s="11" t="s">
        <v>29</v>
      </c>
      <c r="C11" s="11" t="s">
        <v>30</v>
      </c>
      <c r="D11" s="12">
        <v>0.379</v>
      </c>
      <c r="E11" s="12" t="s">
        <v>69</v>
      </c>
      <c r="F11" s="12">
        <v>9.2100000000000009</v>
      </c>
      <c r="G11" s="12">
        <v>3.3599999999999998E-2</v>
      </c>
      <c r="H11" s="12">
        <v>0.11899999999999999</v>
      </c>
      <c r="I11" s="5">
        <v>-3.8600000000000002E-2</v>
      </c>
      <c r="J11" s="12">
        <v>-1.35E-2</v>
      </c>
      <c r="K11" s="12">
        <v>4.0599999999999997E-2</v>
      </c>
      <c r="L11" s="12">
        <v>2E-3</v>
      </c>
    </row>
    <row r="12" spans="1:12" ht="15" customHeight="1" x14ac:dyDescent="0.25">
      <c r="A12" s="11" t="s">
        <v>62</v>
      </c>
      <c r="B12" s="11" t="s">
        <v>31</v>
      </c>
      <c r="C12" s="11" t="s">
        <v>32</v>
      </c>
      <c r="D12" s="12">
        <v>0.79900000000000004</v>
      </c>
      <c r="E12" s="12" t="s">
        <v>70</v>
      </c>
      <c r="F12" s="12">
        <v>-7.62</v>
      </c>
      <c r="G12" s="12">
        <v>0.18310000000000001</v>
      </c>
      <c r="H12" s="12">
        <v>0.39300000000000002</v>
      </c>
      <c r="I12" s="6">
        <v>0.1014</v>
      </c>
      <c r="J12" s="12">
        <v>0.10730000000000001</v>
      </c>
      <c r="K12" s="12">
        <v>0.24779999999999999</v>
      </c>
      <c r="L12" s="12">
        <v>0.34920000000000001</v>
      </c>
    </row>
    <row r="13" spans="1:12" ht="15" customHeight="1" x14ac:dyDescent="0.25">
      <c r="A13" s="11" t="s">
        <v>62</v>
      </c>
      <c r="B13" s="11" t="s">
        <v>33</v>
      </c>
      <c r="C13" s="11" t="s">
        <v>34</v>
      </c>
      <c r="D13" s="12">
        <v>0.66400000000000003</v>
      </c>
      <c r="E13" s="12" t="s">
        <v>71</v>
      </c>
      <c r="F13" s="12">
        <v>-8.61</v>
      </c>
      <c r="G13" s="12">
        <v>0.151</v>
      </c>
      <c r="H13" s="12">
        <v>0.31559999999999999</v>
      </c>
      <c r="I13" s="6">
        <v>7.5800000000000006E-2</v>
      </c>
      <c r="J13" s="12">
        <v>7.9200000000000007E-2</v>
      </c>
      <c r="K13" s="12">
        <v>0.2422</v>
      </c>
      <c r="L13" s="12">
        <v>0.318</v>
      </c>
    </row>
    <row r="14" spans="1:12" ht="15" customHeight="1" x14ac:dyDescent="0.25">
      <c r="A14" s="11" t="s">
        <v>62</v>
      </c>
      <c r="B14" s="11" t="s">
        <v>35</v>
      </c>
      <c r="C14" s="11" t="s">
        <v>36</v>
      </c>
      <c r="D14" s="12">
        <v>-0.218</v>
      </c>
      <c r="E14" s="12" t="s">
        <v>72</v>
      </c>
      <c r="F14" s="12">
        <v>21.71</v>
      </c>
      <c r="G14" s="12">
        <v>2.0000000000000001E-4</v>
      </c>
      <c r="H14" s="12">
        <v>-4.2500000000000003E-2</v>
      </c>
      <c r="I14" s="6">
        <v>6.54E-2</v>
      </c>
      <c r="J14" s="12">
        <v>1.84E-2</v>
      </c>
      <c r="K14" s="12">
        <v>-0.13439999999999999</v>
      </c>
      <c r="L14" s="12">
        <v>-6.9000000000000006E-2</v>
      </c>
    </row>
    <row r="15" spans="1:12" ht="15" customHeight="1" x14ac:dyDescent="0.25">
      <c r="A15" s="11" t="s">
        <v>62</v>
      </c>
      <c r="B15" s="11" t="s">
        <v>37</v>
      </c>
      <c r="C15" s="11" t="s">
        <v>38</v>
      </c>
      <c r="D15" s="12">
        <v>-0.34</v>
      </c>
      <c r="E15" s="12" t="s">
        <v>73</v>
      </c>
      <c r="F15" s="12">
        <v>6.35</v>
      </c>
      <c r="G15" s="12">
        <v>3.8E-3</v>
      </c>
      <c r="H15" s="12">
        <v>-7.0999999999999994E-2</v>
      </c>
      <c r="I15" s="6">
        <v>7.8799999999999995E-2</v>
      </c>
      <c r="J15" s="12">
        <v>4.2200000000000001E-2</v>
      </c>
      <c r="K15" s="12">
        <v>-0.152</v>
      </c>
      <c r="L15" s="12">
        <v>-7.3200000000000001E-2</v>
      </c>
    </row>
    <row r="16" spans="1:12" ht="15" customHeight="1" x14ac:dyDescent="0.25">
      <c r="A16" s="11" t="s">
        <v>62</v>
      </c>
      <c r="B16" s="11" t="s">
        <v>39</v>
      </c>
      <c r="C16" s="11" t="s">
        <v>40</v>
      </c>
      <c r="D16" s="12">
        <v>-0.255</v>
      </c>
      <c r="E16" s="12" t="s">
        <v>74</v>
      </c>
      <c r="F16" s="12">
        <v>3.08</v>
      </c>
      <c r="G16" s="12">
        <v>1.0500000000000001E-2</v>
      </c>
      <c r="H16" s="12">
        <v>-5.5500000000000001E-2</v>
      </c>
      <c r="I16" s="6">
        <v>6.93E-2</v>
      </c>
      <c r="J16" s="12">
        <v>4.3700000000000003E-2</v>
      </c>
      <c r="K16" s="12">
        <v>-0.1148</v>
      </c>
      <c r="L16" s="12">
        <v>-4.5499999999999999E-2</v>
      </c>
    </row>
    <row r="17" spans="1:12" ht="15" customHeight="1" x14ac:dyDescent="0.25">
      <c r="A17" s="11" t="s">
        <v>75</v>
      </c>
      <c r="B17" s="11" t="s">
        <v>16</v>
      </c>
      <c r="C17" s="11" t="s">
        <v>17</v>
      </c>
      <c r="D17" s="12">
        <v>14.513</v>
      </c>
      <c r="E17" s="12" t="s">
        <v>76</v>
      </c>
      <c r="F17" s="12">
        <v>2.4300000000000002</v>
      </c>
      <c r="G17" s="12">
        <v>0.19339999999999999</v>
      </c>
      <c r="H17" s="12">
        <v>0.28139999999999998</v>
      </c>
      <c r="I17" s="6">
        <v>0.2024</v>
      </c>
      <c r="J17" s="12">
        <v>0.1239</v>
      </c>
      <c r="K17" s="12">
        <v>0.43159999999999998</v>
      </c>
      <c r="L17" s="12">
        <v>0.63400000000000001</v>
      </c>
    </row>
    <row r="18" spans="1:12" ht="15" customHeight="1" x14ac:dyDescent="0.25">
      <c r="A18" s="11" t="s">
        <v>75</v>
      </c>
      <c r="B18" s="11" t="s">
        <v>19</v>
      </c>
      <c r="C18" s="11" t="s">
        <v>20</v>
      </c>
      <c r="D18" s="12">
        <v>29.015999999999998</v>
      </c>
      <c r="E18" s="12" t="s">
        <v>77</v>
      </c>
      <c r="F18" s="12">
        <v>21.59</v>
      </c>
      <c r="G18" s="12">
        <v>0.15579999999999999</v>
      </c>
      <c r="H18" s="12">
        <v>0.435</v>
      </c>
      <c r="I18" s="6">
        <v>0.17199999999999999</v>
      </c>
      <c r="J18" s="12">
        <v>9.7299999999999998E-2</v>
      </c>
      <c r="K18" s="12">
        <v>0.5323</v>
      </c>
      <c r="L18" s="12">
        <v>0.70430000000000004</v>
      </c>
    </row>
    <row r="19" spans="1:12" ht="15" customHeight="1" x14ac:dyDescent="0.25">
      <c r="A19" s="11" t="s">
        <v>75</v>
      </c>
      <c r="B19" s="11" t="s">
        <v>21</v>
      </c>
      <c r="C19" s="11" t="s">
        <v>22</v>
      </c>
      <c r="D19" s="12">
        <v>12.292</v>
      </c>
      <c r="E19" s="12" t="s">
        <v>78</v>
      </c>
      <c r="F19" s="12">
        <v>-3.68</v>
      </c>
      <c r="G19" s="12">
        <v>0.15909999999999999</v>
      </c>
      <c r="H19" s="12">
        <v>0.2223</v>
      </c>
      <c r="I19" s="6">
        <v>0.1648</v>
      </c>
      <c r="J19" s="12">
        <v>0.1031</v>
      </c>
      <c r="K19" s="12">
        <v>0.41670000000000001</v>
      </c>
      <c r="L19" s="12">
        <v>0.58150000000000002</v>
      </c>
    </row>
    <row r="20" spans="1:12" ht="15" customHeight="1" x14ac:dyDescent="0.25">
      <c r="A20" s="11" t="s">
        <v>75</v>
      </c>
      <c r="B20" s="11" t="s">
        <v>23</v>
      </c>
      <c r="C20" s="11" t="s">
        <v>24</v>
      </c>
      <c r="D20" s="12">
        <v>24.364999999999998</v>
      </c>
      <c r="E20" s="12" t="s">
        <v>79</v>
      </c>
      <c r="F20" s="12">
        <v>22.29</v>
      </c>
      <c r="G20" s="12">
        <v>0.15490000000000001</v>
      </c>
      <c r="H20" s="12">
        <v>0.50209999999999999</v>
      </c>
      <c r="I20" s="6">
        <v>0.157</v>
      </c>
      <c r="J20" s="12">
        <v>9.8299999999999998E-2</v>
      </c>
      <c r="K20" s="12">
        <v>0.44850000000000001</v>
      </c>
      <c r="L20" s="12">
        <v>0.60550000000000004</v>
      </c>
    </row>
    <row r="21" spans="1:12" ht="15" customHeight="1" x14ac:dyDescent="0.25">
      <c r="A21" s="11" t="s">
        <v>75</v>
      </c>
      <c r="B21" s="11" t="s">
        <v>25</v>
      </c>
      <c r="C21" s="11" t="s">
        <v>26</v>
      </c>
      <c r="D21" s="12">
        <v>23.488</v>
      </c>
      <c r="E21" s="12" t="s">
        <v>80</v>
      </c>
      <c r="F21" s="12">
        <v>18.79</v>
      </c>
      <c r="G21" s="12">
        <v>0.13950000000000001</v>
      </c>
      <c r="H21" s="12">
        <v>0.47270000000000001</v>
      </c>
      <c r="I21" s="6">
        <v>9.1399999999999995E-2</v>
      </c>
      <c r="J21" s="12">
        <v>7.6499999999999999E-2</v>
      </c>
      <c r="K21" s="12">
        <v>0.50580000000000003</v>
      </c>
      <c r="L21" s="12">
        <v>0.59719999999999995</v>
      </c>
    </row>
    <row r="22" spans="1:12" ht="15" customHeight="1" x14ac:dyDescent="0.25">
      <c r="A22" s="11" t="s">
        <v>75</v>
      </c>
      <c r="B22" s="11" t="s">
        <v>27</v>
      </c>
      <c r="C22" s="11" t="s">
        <v>28</v>
      </c>
      <c r="D22" s="12">
        <v>23.507999999999999</v>
      </c>
      <c r="E22" s="12" t="s">
        <v>81</v>
      </c>
      <c r="F22" s="12">
        <v>13.26</v>
      </c>
      <c r="G22" s="12">
        <v>0.1409</v>
      </c>
      <c r="H22" s="12">
        <v>0.48859999999999998</v>
      </c>
      <c r="I22" s="6">
        <v>8.8700000000000001E-2</v>
      </c>
      <c r="J22" s="12">
        <v>7.7399999999999997E-2</v>
      </c>
      <c r="K22" s="12">
        <v>0.5262</v>
      </c>
      <c r="L22" s="12">
        <v>0.6149</v>
      </c>
    </row>
    <row r="23" spans="1:12" ht="15" customHeight="1" x14ac:dyDescent="0.25">
      <c r="A23" s="11" t="s">
        <v>75</v>
      </c>
      <c r="B23" s="11" t="s">
        <v>29</v>
      </c>
      <c r="C23" s="11" t="s">
        <v>30</v>
      </c>
      <c r="D23" s="12">
        <v>20.262</v>
      </c>
      <c r="E23" s="12" t="s">
        <v>82</v>
      </c>
      <c r="F23" s="12">
        <v>9.19</v>
      </c>
      <c r="G23" s="12">
        <v>0.15429999999999999</v>
      </c>
      <c r="H23" s="12">
        <v>0.44969999999999999</v>
      </c>
      <c r="I23" s="6">
        <v>9.4100000000000003E-2</v>
      </c>
      <c r="J23" s="12">
        <v>8.7599999999999997E-2</v>
      </c>
      <c r="K23" s="12">
        <v>0.53400000000000003</v>
      </c>
      <c r="L23" s="12">
        <v>0.62809999999999999</v>
      </c>
    </row>
    <row r="24" spans="1:12" ht="15" customHeight="1" x14ac:dyDescent="0.25">
      <c r="A24" s="11" t="s">
        <v>75</v>
      </c>
      <c r="B24" s="11" t="s">
        <v>31</v>
      </c>
      <c r="C24" s="11" t="s">
        <v>32</v>
      </c>
      <c r="D24" s="12">
        <v>24.975000000000001</v>
      </c>
      <c r="E24" s="12" t="s">
        <v>83</v>
      </c>
      <c r="F24" s="12">
        <v>-7.63</v>
      </c>
      <c r="G24" s="12">
        <v>0.21890000000000001</v>
      </c>
      <c r="H24" s="12">
        <v>0.4128</v>
      </c>
      <c r="I24" s="6">
        <v>0.21249999999999999</v>
      </c>
      <c r="J24" s="12">
        <v>0.1268</v>
      </c>
      <c r="K24" s="12">
        <v>0.6573</v>
      </c>
      <c r="L24" s="12">
        <v>0.86980000000000002</v>
      </c>
    </row>
    <row r="25" spans="1:12" ht="15" customHeight="1" x14ac:dyDescent="0.25">
      <c r="A25" s="11" t="s">
        <v>75</v>
      </c>
      <c r="B25" s="11" t="s">
        <v>33</v>
      </c>
      <c r="C25" s="11" t="s">
        <v>34</v>
      </c>
      <c r="D25" s="12">
        <v>23.706</v>
      </c>
      <c r="E25" s="12" t="s">
        <v>84</v>
      </c>
      <c r="F25" s="12">
        <v>-8.6199999999999992</v>
      </c>
      <c r="G25" s="12">
        <v>0.20499999999999999</v>
      </c>
      <c r="H25" s="12">
        <v>0.39800000000000002</v>
      </c>
      <c r="I25" s="6">
        <v>0.1953</v>
      </c>
      <c r="J25" s="12">
        <v>0.1176</v>
      </c>
      <c r="K25" s="12">
        <v>0.6643</v>
      </c>
      <c r="L25" s="12">
        <v>0.85960000000000003</v>
      </c>
    </row>
    <row r="26" spans="1:12" ht="15" customHeight="1" x14ac:dyDescent="0.25">
      <c r="A26" s="11" t="s">
        <v>75</v>
      </c>
      <c r="B26" s="11" t="s">
        <v>35</v>
      </c>
      <c r="C26" s="11" t="s">
        <v>36</v>
      </c>
      <c r="D26" s="12">
        <v>25.873000000000001</v>
      </c>
      <c r="E26" s="12" t="s">
        <v>85</v>
      </c>
      <c r="F26" s="12">
        <v>21.68</v>
      </c>
      <c r="G26" s="12">
        <v>0.19819999999999999</v>
      </c>
      <c r="H26" s="12">
        <v>0.50690000000000002</v>
      </c>
      <c r="I26" s="6">
        <v>0.1547</v>
      </c>
      <c r="J26" s="12">
        <v>0.12909999999999999</v>
      </c>
      <c r="K26" s="12">
        <v>0.2777</v>
      </c>
      <c r="L26" s="12">
        <v>0.43240000000000001</v>
      </c>
    </row>
    <row r="27" spans="1:12" ht="15" customHeight="1" x14ac:dyDescent="0.25">
      <c r="A27" s="11" t="s">
        <v>75</v>
      </c>
      <c r="B27" s="11" t="s">
        <v>37</v>
      </c>
      <c r="C27" s="11" t="s">
        <v>38</v>
      </c>
      <c r="D27" s="12">
        <v>12.654999999999999</v>
      </c>
      <c r="E27" s="12" t="s">
        <v>86</v>
      </c>
      <c r="F27" s="12">
        <v>6.33</v>
      </c>
      <c r="G27" s="12">
        <v>0.1857</v>
      </c>
      <c r="H27" s="12">
        <v>0.24049999999999999</v>
      </c>
      <c r="I27" s="6">
        <v>0.1951</v>
      </c>
      <c r="J27" s="12">
        <v>0.14050000000000001</v>
      </c>
      <c r="K27" s="12">
        <v>0.29210000000000003</v>
      </c>
      <c r="L27" s="12">
        <v>0.48720000000000002</v>
      </c>
    </row>
    <row r="28" spans="1:12" ht="15" customHeight="1" x14ac:dyDescent="0.25">
      <c r="A28" s="11" t="s">
        <v>75</v>
      </c>
      <c r="B28" s="11" t="s">
        <v>39</v>
      </c>
      <c r="C28" s="11" t="s">
        <v>40</v>
      </c>
      <c r="D28" s="12">
        <v>17.350999999999999</v>
      </c>
      <c r="E28" s="12" t="s">
        <v>87</v>
      </c>
      <c r="F28" s="12">
        <v>3.07</v>
      </c>
      <c r="G28" s="12">
        <v>0.2228</v>
      </c>
      <c r="H28" s="12">
        <v>0.31319999999999998</v>
      </c>
      <c r="I28" s="6">
        <v>0.22639999999999999</v>
      </c>
      <c r="J28" s="12">
        <v>0.15229999999999999</v>
      </c>
      <c r="K28" s="12">
        <v>0.36659999999999998</v>
      </c>
      <c r="L28" s="12">
        <v>0.59299999999999997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showGridLines="0" workbookViewId="0">
      <selection activeCell="E5" sqref="E5:F8"/>
    </sheetView>
  </sheetViews>
  <sheetFormatPr defaultRowHeight="15" x14ac:dyDescent="0.25"/>
  <cols>
    <col min="1" max="1" width="8" customWidth="1"/>
    <col min="2" max="2" width="24" customWidth="1"/>
    <col min="3" max="3" width="10" customWidth="1"/>
    <col min="4" max="4" width="12" customWidth="1"/>
    <col min="5" max="6" width="16" customWidth="1"/>
    <col min="7" max="7" width="8" customWidth="1"/>
    <col min="8" max="8" width="16" customWidth="1"/>
    <col min="9" max="9" width="12" customWidth="1"/>
    <col min="10" max="10" width="26" customWidth="1"/>
  </cols>
  <sheetData>
    <row r="1" spans="1:12" ht="20.100000000000001" customHeight="1" x14ac:dyDescent="0.25">
      <c r="A1" s="25" t="s">
        <v>88</v>
      </c>
      <c r="B1" s="24"/>
      <c r="C1" s="24"/>
      <c r="D1" s="24"/>
      <c r="E1" s="24"/>
      <c r="F1" s="24"/>
      <c r="G1" s="24"/>
      <c r="H1" s="24"/>
      <c r="I1" s="24"/>
    </row>
    <row r="2" spans="1:12" ht="20.100000000000001" customHeight="1" x14ac:dyDescent="0.25">
      <c r="A2" s="23" t="s">
        <v>89</v>
      </c>
      <c r="B2" s="24"/>
      <c r="C2" s="24"/>
      <c r="D2" s="24"/>
      <c r="E2" s="24"/>
      <c r="F2" s="24"/>
      <c r="G2" s="24"/>
      <c r="H2" s="24"/>
      <c r="I2" s="24"/>
    </row>
    <row r="3" spans="1:12" ht="20.100000000000001" customHeight="1" x14ac:dyDescent="0.25"/>
    <row r="4" spans="1:12" ht="20.100000000000001" customHeight="1" x14ac:dyDescent="0.25">
      <c r="A4" s="1" t="s">
        <v>90</v>
      </c>
      <c r="B4" s="1" t="s">
        <v>91</v>
      </c>
      <c r="C4" s="1" t="s">
        <v>92</v>
      </c>
      <c r="D4" s="1" t="s">
        <v>93</v>
      </c>
      <c r="E4" s="1" t="s">
        <v>94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L4" t="s">
        <v>169</v>
      </c>
    </row>
    <row r="5" spans="1:12" ht="20.100000000000001" customHeight="1" x14ac:dyDescent="0.25">
      <c r="A5" s="13" t="s">
        <v>7</v>
      </c>
      <c r="B5" s="13" t="s">
        <v>100</v>
      </c>
      <c r="C5" s="14">
        <v>60</v>
      </c>
      <c r="D5" s="14">
        <v>835</v>
      </c>
      <c r="E5" s="42">
        <v>0.55590899999999999</v>
      </c>
      <c r="F5" s="42">
        <v>0.72204500000000005</v>
      </c>
      <c r="G5" s="14" t="s">
        <v>101</v>
      </c>
      <c r="H5" s="42">
        <v>-0.56740000000000002</v>
      </c>
      <c r="I5" s="14" t="s">
        <v>102</v>
      </c>
      <c r="J5" s="13" t="s">
        <v>103</v>
      </c>
    </row>
    <row r="6" spans="1:12" ht="20.100000000000001" customHeight="1" x14ac:dyDescent="0.25">
      <c r="A6" s="15" t="s">
        <v>8</v>
      </c>
      <c r="B6" s="15" t="s">
        <v>100</v>
      </c>
      <c r="C6" s="16">
        <v>60</v>
      </c>
      <c r="D6" s="16">
        <v>513</v>
      </c>
      <c r="E6" s="41">
        <v>3.0829999999999998E-3</v>
      </c>
      <c r="F6" s="41">
        <v>1.5410000000000001E-3</v>
      </c>
      <c r="G6" s="17" t="s">
        <v>104</v>
      </c>
      <c r="H6" s="41">
        <v>0.2339</v>
      </c>
      <c r="I6" s="16" t="s">
        <v>105</v>
      </c>
      <c r="J6" s="15" t="s">
        <v>106</v>
      </c>
    </row>
    <row r="7" spans="1:12" ht="20.100000000000001" customHeight="1" x14ac:dyDescent="0.25">
      <c r="A7" s="15" t="s">
        <v>11</v>
      </c>
      <c r="B7" s="15" t="s">
        <v>107</v>
      </c>
      <c r="C7" s="16">
        <v>60</v>
      </c>
      <c r="D7" s="16">
        <v>627</v>
      </c>
      <c r="E7" s="41">
        <v>3.3992000000000001E-2</v>
      </c>
      <c r="F7" s="41">
        <v>1.6996000000000001E-2</v>
      </c>
      <c r="G7" s="17" t="s">
        <v>108</v>
      </c>
      <c r="H7" s="41">
        <v>5.3E-3</v>
      </c>
      <c r="I7" s="16" t="s">
        <v>105</v>
      </c>
      <c r="J7" s="15" t="s">
        <v>106</v>
      </c>
    </row>
    <row r="8" spans="1:12" ht="20.100000000000001" customHeight="1" x14ac:dyDescent="0.25">
      <c r="A8" s="13" t="s">
        <v>12</v>
      </c>
      <c r="B8" s="13" t="s">
        <v>107</v>
      </c>
      <c r="C8" s="14">
        <v>60</v>
      </c>
      <c r="D8" s="14">
        <v>860</v>
      </c>
      <c r="E8" s="42">
        <v>0.68555999999999995</v>
      </c>
      <c r="F8" s="42">
        <v>0.34277999999999997</v>
      </c>
      <c r="G8" s="14" t="s">
        <v>101</v>
      </c>
      <c r="H8" s="42">
        <v>-0.14680000000000001</v>
      </c>
      <c r="I8" s="14" t="s">
        <v>102</v>
      </c>
      <c r="J8" s="13" t="s">
        <v>103</v>
      </c>
    </row>
    <row r="9" spans="1:12" ht="20.100000000000001" customHeight="1" x14ac:dyDescent="0.25">
      <c r="A9" s="15" t="s">
        <v>13</v>
      </c>
      <c r="B9" s="15" t="s">
        <v>107</v>
      </c>
      <c r="C9" s="16">
        <v>60</v>
      </c>
      <c r="D9" s="16">
        <v>33</v>
      </c>
      <c r="E9" s="16">
        <v>0</v>
      </c>
      <c r="F9" s="16">
        <v>0</v>
      </c>
      <c r="G9" s="17" t="s">
        <v>109</v>
      </c>
      <c r="H9" s="41">
        <v>7.0699999999999999E-2</v>
      </c>
      <c r="I9" s="16" t="s">
        <v>105</v>
      </c>
      <c r="J9" s="15" t="s">
        <v>106</v>
      </c>
    </row>
    <row r="10" spans="1:12" ht="20.100000000000001" customHeight="1" x14ac:dyDescent="0.25">
      <c r="A10" s="15" t="s">
        <v>14</v>
      </c>
      <c r="B10" s="15" t="s">
        <v>107</v>
      </c>
      <c r="C10" s="16">
        <v>60</v>
      </c>
      <c r="D10" s="16">
        <v>211.5</v>
      </c>
      <c r="E10" s="16">
        <v>0</v>
      </c>
      <c r="F10" s="16">
        <v>0</v>
      </c>
      <c r="G10" s="17" t="s">
        <v>109</v>
      </c>
      <c r="H10" s="41">
        <v>1.9099999999999999E-2</v>
      </c>
      <c r="I10" s="16" t="s">
        <v>105</v>
      </c>
      <c r="J10" s="15" t="s">
        <v>106</v>
      </c>
    </row>
    <row r="11" spans="1:12" ht="20.100000000000001" customHeight="1" x14ac:dyDescent="0.25"/>
    <row r="12" spans="1:12" ht="20.100000000000001" customHeight="1" x14ac:dyDescent="0.25">
      <c r="A12" s="26" t="s">
        <v>110</v>
      </c>
      <c r="B12" s="24"/>
      <c r="C12" s="24"/>
      <c r="D12" s="24"/>
      <c r="E12" s="24"/>
      <c r="F12" s="24"/>
      <c r="G12" s="24"/>
      <c r="H12" s="24"/>
      <c r="I12" s="24"/>
      <c r="J12" s="24"/>
    </row>
    <row r="13" spans="1:12" x14ac:dyDescent="0.25">
      <c r="A13" t="s">
        <v>169</v>
      </c>
    </row>
    <row r="14" spans="1:12" ht="60" x14ac:dyDescent="0.25">
      <c r="B14" s="27" t="s">
        <v>150</v>
      </c>
      <c r="C14" s="27" t="s">
        <v>151</v>
      </c>
      <c r="D14" s="27" t="s">
        <v>152</v>
      </c>
      <c r="E14" s="27" t="s">
        <v>153</v>
      </c>
      <c r="F14" s="27" t="s">
        <v>154</v>
      </c>
      <c r="G14" s="27" t="s">
        <v>155</v>
      </c>
      <c r="H14" s="27" t="s">
        <v>156</v>
      </c>
    </row>
    <row r="15" spans="1:12" ht="45" x14ac:dyDescent="0.25">
      <c r="B15" s="28">
        <v>500001</v>
      </c>
      <c r="C15" s="28" t="s">
        <v>157</v>
      </c>
      <c r="D15" s="28">
        <v>11.83</v>
      </c>
      <c r="E15" s="28">
        <v>99.83</v>
      </c>
      <c r="F15" s="28">
        <v>5</v>
      </c>
      <c r="G15" s="29">
        <v>1124.5</v>
      </c>
      <c r="H15" s="28">
        <v>112</v>
      </c>
      <c r="K15" t="s">
        <v>170</v>
      </c>
    </row>
    <row r="16" spans="1:12" ht="30" x14ac:dyDescent="0.25">
      <c r="B16" s="28">
        <v>500002</v>
      </c>
      <c r="C16" s="28" t="s">
        <v>158</v>
      </c>
      <c r="D16" s="28">
        <v>12.57</v>
      </c>
      <c r="E16" s="28">
        <v>99.95</v>
      </c>
      <c r="F16" s="28">
        <v>7</v>
      </c>
      <c r="G16" s="29">
        <v>1005.8</v>
      </c>
      <c r="H16" s="28">
        <v>105</v>
      </c>
    </row>
    <row r="17" spans="2:14" ht="30" x14ac:dyDescent="0.25">
      <c r="B17" s="28">
        <v>500003</v>
      </c>
      <c r="C17" s="28" t="s">
        <v>159</v>
      </c>
      <c r="D17" s="28">
        <v>12.12</v>
      </c>
      <c r="E17" s="28">
        <v>99.9</v>
      </c>
      <c r="F17" s="28">
        <v>12</v>
      </c>
      <c r="G17" s="29">
        <v>1080.2</v>
      </c>
      <c r="H17" s="28">
        <v>108</v>
      </c>
      <c r="K17" t="s">
        <v>170</v>
      </c>
    </row>
    <row r="18" spans="2:14" ht="30" x14ac:dyDescent="0.25">
      <c r="B18" s="28">
        <v>500004</v>
      </c>
      <c r="C18" s="28" t="s">
        <v>160</v>
      </c>
      <c r="D18" s="28">
        <v>11.48</v>
      </c>
      <c r="E18" s="28">
        <v>99.63</v>
      </c>
      <c r="F18" s="28">
        <v>10</v>
      </c>
      <c r="G18" s="29">
        <v>1250.4000000000001</v>
      </c>
      <c r="H18" s="28">
        <v>124</v>
      </c>
    </row>
    <row r="19" spans="2:14" ht="45" x14ac:dyDescent="0.25">
      <c r="B19" s="28">
        <v>500005</v>
      </c>
      <c r="C19" s="28" t="s">
        <v>161</v>
      </c>
      <c r="D19" s="28">
        <v>11.22</v>
      </c>
      <c r="E19" s="28">
        <v>99.52</v>
      </c>
      <c r="F19" s="28">
        <v>15</v>
      </c>
      <c r="G19" s="29">
        <v>1480.9</v>
      </c>
      <c r="H19" s="28">
        <v>135</v>
      </c>
      <c r="K19" s="27" t="s">
        <v>171</v>
      </c>
      <c r="L19" s="27" t="s">
        <v>172</v>
      </c>
      <c r="M19" s="27" t="s">
        <v>173</v>
      </c>
      <c r="N19" s="27" t="s">
        <v>174</v>
      </c>
    </row>
    <row r="20" spans="2:14" ht="120" x14ac:dyDescent="0.25">
      <c r="B20" s="28">
        <v>500006</v>
      </c>
      <c r="C20" s="28" t="s">
        <v>162</v>
      </c>
      <c r="D20" s="28">
        <v>11.08</v>
      </c>
      <c r="E20" s="28">
        <v>99.45</v>
      </c>
      <c r="F20" s="28">
        <v>18</v>
      </c>
      <c r="G20" s="29">
        <v>1510.2</v>
      </c>
      <c r="H20" s="28">
        <v>138</v>
      </c>
      <c r="K20" s="28" t="s">
        <v>101</v>
      </c>
      <c r="L20" s="28" t="s">
        <v>175</v>
      </c>
      <c r="M20" s="28" t="s">
        <v>176</v>
      </c>
      <c r="N20" s="28" t="s">
        <v>177</v>
      </c>
    </row>
    <row r="21" spans="2:14" ht="105" x14ac:dyDescent="0.25">
      <c r="B21" s="28">
        <v>500007</v>
      </c>
      <c r="C21" s="28" t="s">
        <v>163</v>
      </c>
      <c r="D21" s="28">
        <v>12.25</v>
      </c>
      <c r="E21" s="28">
        <v>99.93</v>
      </c>
      <c r="F21" s="28">
        <v>4</v>
      </c>
      <c r="G21" s="28">
        <v>985.6</v>
      </c>
      <c r="H21" s="28">
        <v>102</v>
      </c>
      <c r="K21" s="28" t="s">
        <v>108</v>
      </c>
      <c r="L21" s="28" t="s">
        <v>178</v>
      </c>
      <c r="M21" s="28" t="s">
        <v>179</v>
      </c>
      <c r="N21" s="28" t="s">
        <v>180</v>
      </c>
    </row>
    <row r="22" spans="2:14" ht="105" x14ac:dyDescent="0.25">
      <c r="B22" s="28">
        <v>500008</v>
      </c>
      <c r="C22" s="28" t="s">
        <v>164</v>
      </c>
      <c r="D22" s="28">
        <v>12.4</v>
      </c>
      <c r="E22" s="28">
        <v>99.97</v>
      </c>
      <c r="F22" s="28">
        <v>8</v>
      </c>
      <c r="G22" s="29">
        <v>1040.3</v>
      </c>
      <c r="H22" s="28">
        <v>106</v>
      </c>
      <c r="K22" s="28" t="s">
        <v>104</v>
      </c>
      <c r="L22" s="28" t="s">
        <v>181</v>
      </c>
      <c r="M22" s="28" t="s">
        <v>182</v>
      </c>
      <c r="N22" s="28" t="s">
        <v>180</v>
      </c>
    </row>
    <row r="23" spans="2:14" ht="105" x14ac:dyDescent="0.25">
      <c r="B23" s="28">
        <v>500009</v>
      </c>
      <c r="C23" s="28" t="s">
        <v>165</v>
      </c>
      <c r="D23" s="28">
        <v>11.81</v>
      </c>
      <c r="E23" s="28">
        <v>99.79</v>
      </c>
      <c r="F23" s="28">
        <v>6</v>
      </c>
      <c r="G23" s="29">
        <v>1150.7</v>
      </c>
      <c r="H23" s="28">
        <v>115</v>
      </c>
      <c r="K23" s="28" t="s">
        <v>109</v>
      </c>
      <c r="L23" s="28" t="s">
        <v>183</v>
      </c>
      <c r="M23" s="28" t="s">
        <v>184</v>
      </c>
      <c r="N23" s="28" t="s">
        <v>180</v>
      </c>
    </row>
    <row r="24" spans="2:14" ht="30" x14ac:dyDescent="0.25">
      <c r="B24" s="28">
        <v>500010</v>
      </c>
      <c r="C24" s="28" t="s">
        <v>166</v>
      </c>
      <c r="D24" s="28">
        <v>11.62</v>
      </c>
      <c r="E24" s="28">
        <v>99.68</v>
      </c>
      <c r="F24" s="28">
        <v>20</v>
      </c>
      <c r="G24" s="29">
        <v>1220.5</v>
      </c>
      <c r="H24" s="28">
        <v>120</v>
      </c>
    </row>
    <row r="25" spans="2:14" ht="30" x14ac:dyDescent="0.25">
      <c r="B25" s="28">
        <v>500011</v>
      </c>
      <c r="C25" s="28" t="s">
        <v>167</v>
      </c>
      <c r="D25" s="28">
        <v>11.75</v>
      </c>
      <c r="E25" s="28">
        <v>99.75</v>
      </c>
      <c r="F25" s="28">
        <v>5</v>
      </c>
      <c r="G25" s="29">
        <v>1180.4000000000001</v>
      </c>
      <c r="H25" s="28">
        <v>118</v>
      </c>
    </row>
    <row r="26" spans="2:14" ht="30" x14ac:dyDescent="0.25">
      <c r="B26" s="28">
        <v>500012</v>
      </c>
      <c r="C26" s="28" t="s">
        <v>168</v>
      </c>
      <c r="D26" s="28">
        <v>12.05</v>
      </c>
      <c r="E26" s="28">
        <v>99.85</v>
      </c>
      <c r="F26" s="28">
        <v>45</v>
      </c>
      <c r="G26" s="29">
        <v>1350.8</v>
      </c>
      <c r="H26" s="28">
        <v>128</v>
      </c>
    </row>
  </sheetData>
  <mergeCells count="3">
    <mergeCell ref="A1:I1"/>
    <mergeCell ref="A12:J12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showGridLines="0" workbookViewId="0">
      <selection activeCell="H5" sqref="H5:H10"/>
    </sheetView>
  </sheetViews>
  <sheetFormatPr defaultRowHeight="15" x14ac:dyDescent="0.25"/>
  <cols>
    <col min="1" max="1" width="8" customWidth="1"/>
    <col min="2" max="2" width="24" customWidth="1"/>
    <col min="3" max="3" width="10" customWidth="1"/>
    <col min="4" max="4" width="12" customWidth="1"/>
    <col min="5" max="6" width="16" customWidth="1"/>
    <col min="7" max="7" width="8" customWidth="1"/>
    <col min="8" max="8" width="16" customWidth="1"/>
    <col min="9" max="9" width="12" customWidth="1"/>
    <col min="10" max="10" width="26" customWidth="1"/>
  </cols>
  <sheetData>
    <row r="1" spans="1:10" ht="12.95" customHeight="1" x14ac:dyDescent="0.25">
      <c r="A1" s="25" t="s">
        <v>111</v>
      </c>
      <c r="B1" s="24"/>
      <c r="C1" s="24"/>
      <c r="D1" s="24"/>
      <c r="E1" s="24"/>
      <c r="F1" s="24"/>
      <c r="G1" s="24"/>
      <c r="H1" s="24"/>
      <c r="I1" s="24"/>
    </row>
    <row r="2" spans="1:10" ht="12.95" customHeight="1" x14ac:dyDescent="0.25">
      <c r="A2" s="23" t="s">
        <v>89</v>
      </c>
      <c r="B2" s="24"/>
      <c r="C2" s="24"/>
      <c r="D2" s="24"/>
      <c r="E2" s="24"/>
      <c r="F2" s="24"/>
      <c r="G2" s="24"/>
      <c r="H2" s="24"/>
      <c r="I2" s="24"/>
    </row>
    <row r="3" spans="1:10" ht="12.95" customHeight="1" x14ac:dyDescent="0.25"/>
    <row r="4" spans="1:10" ht="12.95" customHeight="1" x14ac:dyDescent="0.25">
      <c r="A4" s="1" t="s">
        <v>90</v>
      </c>
      <c r="B4" s="1" t="s">
        <v>91</v>
      </c>
      <c r="C4" s="1" t="s">
        <v>92</v>
      </c>
      <c r="D4" s="1" t="s">
        <v>93</v>
      </c>
      <c r="E4" s="1" t="s">
        <v>94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</row>
    <row r="5" spans="1:10" ht="12.95" customHeight="1" x14ac:dyDescent="0.25">
      <c r="A5" s="15" t="s">
        <v>7</v>
      </c>
      <c r="B5" s="15" t="s">
        <v>100</v>
      </c>
      <c r="C5" s="16">
        <v>60</v>
      </c>
      <c r="D5" s="16">
        <v>76</v>
      </c>
      <c r="E5" s="16">
        <v>0</v>
      </c>
      <c r="F5" s="16">
        <v>0</v>
      </c>
      <c r="G5" s="17" t="s">
        <v>109</v>
      </c>
      <c r="H5" s="41">
        <v>18.2255</v>
      </c>
      <c r="I5" s="16" t="s">
        <v>105</v>
      </c>
      <c r="J5" s="15" t="s">
        <v>106</v>
      </c>
    </row>
    <row r="6" spans="1:10" ht="12.95" customHeight="1" x14ac:dyDescent="0.25">
      <c r="A6" s="15" t="s">
        <v>8</v>
      </c>
      <c r="B6" s="15" t="s">
        <v>100</v>
      </c>
      <c r="C6" s="16">
        <v>60</v>
      </c>
      <c r="D6" s="16">
        <v>48</v>
      </c>
      <c r="E6" s="16">
        <v>0</v>
      </c>
      <c r="F6" s="16">
        <v>0</v>
      </c>
      <c r="G6" s="17" t="s">
        <v>109</v>
      </c>
      <c r="H6" s="41">
        <v>16.471299999999999</v>
      </c>
      <c r="I6" s="16" t="s">
        <v>105</v>
      </c>
      <c r="J6" s="15" t="s">
        <v>106</v>
      </c>
    </row>
    <row r="7" spans="1:10" ht="12.95" customHeight="1" x14ac:dyDescent="0.25">
      <c r="A7" s="15" t="s">
        <v>11</v>
      </c>
      <c r="B7" s="15" t="s">
        <v>107</v>
      </c>
      <c r="C7" s="16">
        <v>60</v>
      </c>
      <c r="D7" s="16">
        <v>0</v>
      </c>
      <c r="E7" s="16">
        <v>0</v>
      </c>
      <c r="F7" s="16">
        <v>0</v>
      </c>
      <c r="G7" s="17" t="s">
        <v>109</v>
      </c>
      <c r="H7" s="41">
        <v>0.1094</v>
      </c>
      <c r="I7" s="16" t="s">
        <v>105</v>
      </c>
      <c r="J7" s="15" t="s">
        <v>106</v>
      </c>
    </row>
    <row r="8" spans="1:10" ht="12.95" customHeight="1" x14ac:dyDescent="0.25">
      <c r="A8" s="15" t="s">
        <v>12</v>
      </c>
      <c r="B8" s="15" t="s">
        <v>107</v>
      </c>
      <c r="C8" s="16">
        <v>60</v>
      </c>
      <c r="D8" s="16">
        <v>77</v>
      </c>
      <c r="E8" s="16">
        <v>0</v>
      </c>
      <c r="F8" s="16">
        <v>0</v>
      </c>
      <c r="G8" s="17" t="s">
        <v>109</v>
      </c>
      <c r="H8" s="41">
        <v>0.46150000000000002</v>
      </c>
      <c r="I8" s="16" t="s">
        <v>105</v>
      </c>
      <c r="J8" s="15" t="s">
        <v>106</v>
      </c>
    </row>
    <row r="9" spans="1:10" ht="12.95" customHeight="1" x14ac:dyDescent="0.25">
      <c r="A9" s="15" t="s">
        <v>13</v>
      </c>
      <c r="B9" s="15" t="s">
        <v>107</v>
      </c>
      <c r="C9" s="16">
        <v>60</v>
      </c>
      <c r="D9" s="16">
        <v>0</v>
      </c>
      <c r="E9" s="16">
        <v>0</v>
      </c>
      <c r="F9" s="16">
        <v>0</v>
      </c>
      <c r="G9" s="17" t="s">
        <v>109</v>
      </c>
      <c r="H9" s="41">
        <v>0.22509999999999999</v>
      </c>
      <c r="I9" s="16" t="s">
        <v>105</v>
      </c>
      <c r="J9" s="15" t="s">
        <v>106</v>
      </c>
    </row>
    <row r="10" spans="1:10" ht="12.95" customHeight="1" x14ac:dyDescent="0.25">
      <c r="A10" s="15" t="s">
        <v>14</v>
      </c>
      <c r="B10" s="15" t="s">
        <v>107</v>
      </c>
      <c r="C10" s="16">
        <v>60</v>
      </c>
      <c r="D10" s="16">
        <v>0</v>
      </c>
      <c r="E10" s="16">
        <v>0</v>
      </c>
      <c r="F10" s="16">
        <v>0</v>
      </c>
      <c r="G10" s="17" t="s">
        <v>109</v>
      </c>
      <c r="H10" s="41">
        <v>0.1032</v>
      </c>
      <c r="I10" s="16" t="s">
        <v>105</v>
      </c>
      <c r="J10" s="15" t="s">
        <v>106</v>
      </c>
    </row>
    <row r="11" spans="1:10" ht="12.95" customHeight="1" x14ac:dyDescent="0.25"/>
    <row r="12" spans="1:10" ht="12.95" customHeight="1" x14ac:dyDescent="0.25">
      <c r="A12" s="26" t="s">
        <v>110</v>
      </c>
      <c r="B12" s="24"/>
      <c r="C12" s="24"/>
      <c r="D12" s="24"/>
      <c r="E12" s="24"/>
      <c r="F12" s="24"/>
      <c r="G12" s="24"/>
      <c r="H12" s="24"/>
      <c r="I12" s="24"/>
      <c r="J12" s="24"/>
    </row>
  </sheetData>
  <mergeCells count="3">
    <mergeCell ref="A1:I1"/>
    <mergeCell ref="A12:J12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4"/>
  <sheetViews>
    <sheetView showGridLines="0" workbookViewId="0">
      <selection sqref="A1:J1"/>
    </sheetView>
  </sheetViews>
  <sheetFormatPr defaultRowHeight="15" x14ac:dyDescent="0.25"/>
  <cols>
    <col min="1" max="1" width="14" customWidth="1"/>
    <col min="2" max="2" width="16" customWidth="1"/>
    <col min="3" max="3" width="10" customWidth="1"/>
    <col min="4" max="4" width="6" customWidth="1"/>
    <col min="5" max="12" width="10" customWidth="1"/>
  </cols>
  <sheetData>
    <row r="1" spans="1:12" ht="24" customHeight="1" x14ac:dyDescent="0.25">
      <c r="A1" s="25" t="s">
        <v>112</v>
      </c>
      <c r="B1" s="24"/>
      <c r="C1" s="24"/>
      <c r="D1" s="24"/>
      <c r="E1" s="24"/>
      <c r="F1" s="24"/>
      <c r="G1" s="24"/>
      <c r="H1" s="24"/>
      <c r="I1" s="24"/>
      <c r="J1" s="24"/>
    </row>
    <row r="2" spans="1:12" ht="14.1" customHeight="1" x14ac:dyDescent="0.25">
      <c r="A2" s="23" t="s">
        <v>113</v>
      </c>
      <c r="B2" s="24"/>
      <c r="C2" s="24"/>
      <c r="D2" s="24"/>
      <c r="E2" s="24"/>
      <c r="F2" s="24"/>
      <c r="G2" s="24"/>
      <c r="H2" s="24"/>
      <c r="I2" s="24"/>
      <c r="J2" s="24"/>
    </row>
    <row r="4" spans="1:12" ht="36" customHeight="1" x14ac:dyDescent="0.25">
      <c r="A4" s="1" t="s">
        <v>2</v>
      </c>
      <c r="B4" s="1" t="s">
        <v>114</v>
      </c>
      <c r="C4" s="1" t="s">
        <v>3</v>
      </c>
      <c r="D4" s="1" t="s">
        <v>4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ht="14.1" customHeight="1" x14ac:dyDescent="0.25">
      <c r="A5" s="2" t="s">
        <v>15</v>
      </c>
      <c r="B5" s="2" t="s">
        <v>115</v>
      </c>
      <c r="C5" s="2" t="s">
        <v>31</v>
      </c>
      <c r="D5" s="2" t="s">
        <v>32</v>
      </c>
      <c r="E5" s="3">
        <v>4.9164000000000003</v>
      </c>
      <c r="F5" s="3">
        <v>2.9754999999999998</v>
      </c>
      <c r="G5" s="3">
        <v>-1.262</v>
      </c>
      <c r="H5" s="3">
        <v>-38.14</v>
      </c>
      <c r="I5" s="3">
        <v>0.21190000000000001</v>
      </c>
      <c r="J5" s="3">
        <v>-0.44590000000000002</v>
      </c>
      <c r="K5" s="3">
        <v>0.1101</v>
      </c>
      <c r="L5" s="3">
        <v>0.49109999999999998</v>
      </c>
    </row>
    <row r="6" spans="1:12" ht="14.1" customHeight="1" x14ac:dyDescent="0.25">
      <c r="A6" s="2" t="s">
        <v>15</v>
      </c>
      <c r="B6" s="2" t="s">
        <v>115</v>
      </c>
      <c r="C6" s="2" t="s">
        <v>33</v>
      </c>
      <c r="D6" s="2" t="s">
        <v>34</v>
      </c>
      <c r="E6" s="3">
        <v>5.0331999999999999</v>
      </c>
      <c r="F6" s="3">
        <v>2.9801000000000002</v>
      </c>
      <c r="G6" s="3">
        <v>-1.1801999999999999</v>
      </c>
      <c r="H6" s="3">
        <v>-36.58</v>
      </c>
      <c r="I6" s="3">
        <v>0.19370000000000001</v>
      </c>
      <c r="J6" s="3">
        <v>-0.42880000000000001</v>
      </c>
      <c r="K6" s="3">
        <v>9.5799999999999996E-2</v>
      </c>
      <c r="L6" s="3">
        <v>0.47489999999999999</v>
      </c>
    </row>
    <row r="7" spans="1:12" ht="14.1" customHeight="1" x14ac:dyDescent="0.25">
      <c r="A7" s="2" t="s">
        <v>15</v>
      </c>
      <c r="B7" s="2" t="s">
        <v>115</v>
      </c>
      <c r="C7" s="2" t="s">
        <v>25</v>
      </c>
      <c r="D7" s="2" t="s">
        <v>26</v>
      </c>
      <c r="E7" s="3">
        <v>7.6388999999999996</v>
      </c>
      <c r="F7" s="3">
        <v>3.7269999999999999</v>
      </c>
      <c r="G7" s="3">
        <v>-9.2200000000000004E-2</v>
      </c>
      <c r="H7" s="3">
        <v>-2.93</v>
      </c>
      <c r="I7" s="3">
        <v>0.1381</v>
      </c>
      <c r="J7" s="3">
        <v>-0.30819999999999997</v>
      </c>
      <c r="K7" s="3">
        <v>9.0200000000000002E-2</v>
      </c>
      <c r="L7" s="3">
        <v>0.36459999999999998</v>
      </c>
    </row>
    <row r="8" spans="1:12" ht="14.1" customHeight="1" x14ac:dyDescent="0.25">
      <c r="A8" s="2" t="s">
        <v>15</v>
      </c>
      <c r="B8" s="2" t="s">
        <v>115</v>
      </c>
      <c r="C8" s="2" t="s">
        <v>29</v>
      </c>
      <c r="D8" s="2" t="s">
        <v>30</v>
      </c>
      <c r="E8" s="3">
        <v>7.5922999999999998</v>
      </c>
      <c r="F8" s="3">
        <v>3.7210999999999999</v>
      </c>
      <c r="G8" s="3">
        <v>-5.4199999999999998E-2</v>
      </c>
      <c r="H8" s="3">
        <v>-1.74</v>
      </c>
      <c r="I8" s="3">
        <v>0.1343</v>
      </c>
      <c r="J8" s="3">
        <v>-0.32350000000000001</v>
      </c>
      <c r="K8" s="3">
        <v>8.9499999999999996E-2</v>
      </c>
      <c r="L8" s="3">
        <v>0.35709999999999997</v>
      </c>
    </row>
    <row r="9" spans="1:12" ht="14.1" customHeight="1" x14ac:dyDescent="0.25">
      <c r="A9" s="2" t="s">
        <v>15</v>
      </c>
      <c r="B9" s="2" t="s">
        <v>116</v>
      </c>
      <c r="C9" s="2" t="s">
        <v>27</v>
      </c>
      <c r="D9" s="2" t="s">
        <v>28</v>
      </c>
      <c r="E9" s="3">
        <v>9.6115999999999993</v>
      </c>
      <c r="F9" s="3">
        <v>4.5189000000000004</v>
      </c>
      <c r="G9" s="3">
        <v>0.40300000000000002</v>
      </c>
      <c r="H9" s="3">
        <v>12.23</v>
      </c>
      <c r="I9" s="3">
        <v>9.9299999999999999E-2</v>
      </c>
      <c r="J9" s="3">
        <v>-0.90720000000000001</v>
      </c>
      <c r="K9" s="3">
        <v>8.9399999999999993E-2</v>
      </c>
      <c r="L9" s="3">
        <v>0.31319999999999998</v>
      </c>
    </row>
    <row r="10" spans="1:12" ht="14.1" customHeight="1" x14ac:dyDescent="0.25">
      <c r="A10" s="2" t="s">
        <v>15</v>
      </c>
      <c r="B10" s="2" t="s">
        <v>116</v>
      </c>
      <c r="C10" s="2" t="s">
        <v>29</v>
      </c>
      <c r="D10" s="2" t="s">
        <v>30</v>
      </c>
      <c r="E10" s="3">
        <v>9.3119999999999994</v>
      </c>
      <c r="F10" s="3">
        <v>4.4485000000000001</v>
      </c>
      <c r="G10" s="3">
        <v>0.59409999999999996</v>
      </c>
      <c r="H10" s="3">
        <v>19.14</v>
      </c>
      <c r="I10" s="3">
        <v>0.1143</v>
      </c>
      <c r="J10" s="3">
        <v>-0.99350000000000005</v>
      </c>
      <c r="K10" s="3">
        <v>8.6800000000000002E-2</v>
      </c>
      <c r="L10" s="3">
        <v>0.32390000000000002</v>
      </c>
    </row>
    <row r="11" spans="1:12" ht="14.1" customHeight="1" x14ac:dyDescent="0.25">
      <c r="A11" s="2" t="s">
        <v>15</v>
      </c>
      <c r="B11" s="2" t="s">
        <v>116</v>
      </c>
      <c r="C11" s="2" t="s">
        <v>25</v>
      </c>
      <c r="D11" s="2" t="s">
        <v>26</v>
      </c>
      <c r="E11" s="3">
        <v>9.4260999999999999</v>
      </c>
      <c r="F11" s="3">
        <v>4.4661999999999997</v>
      </c>
      <c r="G11" s="3">
        <v>0.55589999999999995</v>
      </c>
      <c r="H11" s="3">
        <v>17.690000000000001</v>
      </c>
      <c r="I11" s="3">
        <v>0.1014</v>
      </c>
      <c r="J11" s="3">
        <v>-0.99460000000000004</v>
      </c>
      <c r="K11" s="3">
        <v>7.8700000000000006E-2</v>
      </c>
      <c r="L11" s="3">
        <v>0.31369999999999998</v>
      </c>
    </row>
    <row r="12" spans="1:12" ht="14.1" customHeight="1" x14ac:dyDescent="0.25">
      <c r="A12" s="2" t="s">
        <v>15</v>
      </c>
      <c r="B12" s="2" t="s">
        <v>117</v>
      </c>
      <c r="C12" s="2" t="s">
        <v>33</v>
      </c>
      <c r="D12" s="2" t="s">
        <v>34</v>
      </c>
      <c r="E12" s="3">
        <v>6.4829999999999997</v>
      </c>
      <c r="F12" s="3">
        <v>3.6646999999999998</v>
      </c>
      <c r="G12" s="3">
        <v>-0.49070000000000003</v>
      </c>
      <c r="H12" s="3">
        <v>-15.23</v>
      </c>
      <c r="I12" s="3">
        <v>0.1515</v>
      </c>
      <c r="J12" s="3">
        <v>-1.3727</v>
      </c>
      <c r="K12" s="3">
        <v>7.7899999999999997E-2</v>
      </c>
      <c r="L12" s="3">
        <v>0.40989999999999999</v>
      </c>
    </row>
    <row r="13" spans="1:12" ht="14.1" customHeight="1" x14ac:dyDescent="0.25">
      <c r="A13" s="2" t="s">
        <v>15</v>
      </c>
      <c r="B13" s="2" t="s">
        <v>115</v>
      </c>
      <c r="C13" s="2" t="s">
        <v>27</v>
      </c>
      <c r="D13" s="2" t="s">
        <v>28</v>
      </c>
      <c r="E13" s="3">
        <v>7.8874000000000004</v>
      </c>
      <c r="F13" s="3">
        <v>3.7879</v>
      </c>
      <c r="G13" s="3">
        <v>-0.24540000000000001</v>
      </c>
      <c r="H13" s="3">
        <v>-7.44</v>
      </c>
      <c r="I13" s="3">
        <v>0.13389999999999999</v>
      </c>
      <c r="J13" s="3">
        <v>-0.28260000000000002</v>
      </c>
      <c r="K13" s="3">
        <v>7.3999999999999996E-2</v>
      </c>
      <c r="L13" s="3">
        <v>0.35809999999999997</v>
      </c>
    </row>
    <row r="14" spans="1:12" ht="14.1" customHeight="1" x14ac:dyDescent="0.25">
      <c r="A14" s="2" t="s">
        <v>15</v>
      </c>
      <c r="B14" s="2" t="s">
        <v>118</v>
      </c>
      <c r="C14" s="2" t="s">
        <v>19</v>
      </c>
      <c r="D14" s="2" t="s">
        <v>20</v>
      </c>
      <c r="E14" s="3">
        <v>12.319800000000001</v>
      </c>
      <c r="F14" s="3">
        <v>5.8140000000000001</v>
      </c>
      <c r="G14" s="3">
        <v>0.61070000000000002</v>
      </c>
      <c r="H14" s="3">
        <v>16.21</v>
      </c>
      <c r="I14" s="3">
        <v>0.1028</v>
      </c>
      <c r="J14" s="3">
        <v>-0.51100000000000001</v>
      </c>
      <c r="K14" s="3">
        <v>7.1199999999999999E-2</v>
      </c>
      <c r="L14" s="3">
        <v>0.312</v>
      </c>
    </row>
    <row r="15" spans="1:12" ht="14.1" customHeight="1" x14ac:dyDescent="0.25">
      <c r="A15" s="2" t="s">
        <v>15</v>
      </c>
      <c r="B15" s="2" t="s">
        <v>119</v>
      </c>
      <c r="C15" s="2" t="s">
        <v>25</v>
      </c>
      <c r="D15" s="2" t="s">
        <v>26</v>
      </c>
      <c r="E15" s="3">
        <v>8.9351000000000003</v>
      </c>
      <c r="F15" s="3">
        <v>4.3552</v>
      </c>
      <c r="G15" s="3">
        <v>0.53559999999999997</v>
      </c>
      <c r="H15" s="3">
        <v>17.05</v>
      </c>
      <c r="I15" s="3">
        <v>7.9699999999999993E-2</v>
      </c>
      <c r="J15" s="3">
        <v>-0.79320000000000002</v>
      </c>
      <c r="K15" s="3">
        <v>6.3500000000000001E-2</v>
      </c>
      <c r="L15" s="3">
        <v>0.2923</v>
      </c>
    </row>
    <row r="16" spans="1:12" ht="14.1" customHeight="1" x14ac:dyDescent="0.25">
      <c r="A16" s="2" t="s">
        <v>15</v>
      </c>
      <c r="B16" s="2" t="s">
        <v>119</v>
      </c>
      <c r="C16" s="2" t="s">
        <v>27</v>
      </c>
      <c r="D16" s="2" t="s">
        <v>28</v>
      </c>
      <c r="E16" s="3">
        <v>9.1701999999999995</v>
      </c>
      <c r="F16" s="3">
        <v>4.4183000000000003</v>
      </c>
      <c r="G16" s="3">
        <v>0.38269999999999998</v>
      </c>
      <c r="H16" s="3">
        <v>11.62</v>
      </c>
      <c r="I16" s="3">
        <v>7.0800000000000002E-2</v>
      </c>
      <c r="J16" s="3">
        <v>-0.7369</v>
      </c>
      <c r="K16" s="3">
        <v>6.0999999999999999E-2</v>
      </c>
      <c r="L16" s="3">
        <v>0.28420000000000001</v>
      </c>
    </row>
    <row r="17" spans="1:12" ht="14.1" customHeight="1" x14ac:dyDescent="0.25">
      <c r="A17" s="2" t="s">
        <v>15</v>
      </c>
      <c r="B17" s="2" t="s">
        <v>119</v>
      </c>
      <c r="C17" s="2" t="s">
        <v>29</v>
      </c>
      <c r="D17" s="2" t="s">
        <v>30</v>
      </c>
      <c r="E17" s="3">
        <v>8.9311000000000007</v>
      </c>
      <c r="F17" s="3">
        <v>4.3391000000000002</v>
      </c>
      <c r="G17" s="3">
        <v>0.57299999999999995</v>
      </c>
      <c r="H17" s="3">
        <v>18.46</v>
      </c>
      <c r="I17" s="3">
        <v>6.9699999999999998E-2</v>
      </c>
      <c r="J17" s="3">
        <v>-0.83450000000000002</v>
      </c>
      <c r="K17" s="3">
        <v>5.1400000000000001E-2</v>
      </c>
      <c r="L17" s="3">
        <v>0.28070000000000001</v>
      </c>
    </row>
    <row r="18" spans="1:12" ht="14.1" customHeight="1" x14ac:dyDescent="0.25">
      <c r="A18" s="2" t="s">
        <v>15</v>
      </c>
      <c r="B18" s="2" t="s">
        <v>118</v>
      </c>
      <c r="C18" s="2" t="s">
        <v>29</v>
      </c>
      <c r="D18" s="2" t="s">
        <v>30</v>
      </c>
      <c r="E18" s="3">
        <v>8.7796000000000003</v>
      </c>
      <c r="F18" s="3">
        <v>3.8279000000000001</v>
      </c>
      <c r="G18" s="3">
        <v>-0.43140000000000001</v>
      </c>
      <c r="H18" s="3">
        <v>-13.9</v>
      </c>
      <c r="I18" s="3">
        <v>5.9400000000000001E-2</v>
      </c>
      <c r="J18" s="3">
        <v>-0.77280000000000004</v>
      </c>
      <c r="K18" s="3">
        <v>4.7199999999999999E-2</v>
      </c>
      <c r="L18" s="3">
        <v>0.25659999999999999</v>
      </c>
    </row>
    <row r="19" spans="1:12" ht="14.1" customHeight="1" x14ac:dyDescent="0.25">
      <c r="A19" s="2" t="s">
        <v>15</v>
      </c>
      <c r="B19" s="2" t="s">
        <v>117</v>
      </c>
      <c r="C19" s="2" t="s">
        <v>27</v>
      </c>
      <c r="D19" s="2" t="s">
        <v>28</v>
      </c>
      <c r="E19" s="3">
        <v>9.9491999999999994</v>
      </c>
      <c r="F19" s="3">
        <v>4.6482999999999999</v>
      </c>
      <c r="G19" s="3">
        <v>0.69540000000000002</v>
      </c>
      <c r="H19" s="3">
        <v>21.1</v>
      </c>
      <c r="I19" s="3">
        <v>7.3999999999999996E-2</v>
      </c>
      <c r="J19" s="3">
        <v>-1.0435000000000001</v>
      </c>
      <c r="K19" s="3">
        <v>4.5699999999999998E-2</v>
      </c>
      <c r="L19" s="3">
        <v>0.2676</v>
      </c>
    </row>
    <row r="20" spans="1:12" ht="14.1" customHeight="1" x14ac:dyDescent="0.25">
      <c r="A20" s="2" t="s">
        <v>15</v>
      </c>
      <c r="B20" s="2" t="s">
        <v>116</v>
      </c>
      <c r="C20" s="2" t="s">
        <v>19</v>
      </c>
      <c r="D20" s="2" t="s">
        <v>20</v>
      </c>
      <c r="E20" s="3">
        <v>12.5128</v>
      </c>
      <c r="F20" s="3">
        <v>6.1844999999999999</v>
      </c>
      <c r="G20" s="3">
        <v>1.1934</v>
      </c>
      <c r="H20" s="3">
        <v>31.65</v>
      </c>
      <c r="I20" s="3">
        <v>0.1105</v>
      </c>
      <c r="J20" s="3">
        <v>-0.55779999999999996</v>
      </c>
      <c r="K20" s="3">
        <v>4.4900000000000002E-2</v>
      </c>
      <c r="L20" s="3">
        <v>0.33389999999999997</v>
      </c>
    </row>
    <row r="21" spans="1:12" ht="14.1" customHeight="1" x14ac:dyDescent="0.25">
      <c r="A21" s="2" t="s">
        <v>15</v>
      </c>
      <c r="B21" s="2" t="s">
        <v>117</v>
      </c>
      <c r="C21" s="2" t="s">
        <v>19</v>
      </c>
      <c r="D21" s="2" t="s">
        <v>20</v>
      </c>
      <c r="E21" s="3">
        <v>12.1289</v>
      </c>
      <c r="F21" s="3">
        <v>5.7187000000000001</v>
      </c>
      <c r="G21" s="3">
        <v>0.22070000000000001</v>
      </c>
      <c r="H21" s="3">
        <v>5.85</v>
      </c>
      <c r="I21" s="3">
        <v>7.4300000000000005E-2</v>
      </c>
      <c r="J21" s="3">
        <v>-0.4637</v>
      </c>
      <c r="K21" s="3">
        <v>4.1700000000000001E-2</v>
      </c>
      <c r="L21" s="3">
        <v>0.28449999999999998</v>
      </c>
    </row>
    <row r="22" spans="1:12" ht="14.1" customHeight="1" x14ac:dyDescent="0.25">
      <c r="A22" s="2" t="s">
        <v>15</v>
      </c>
      <c r="B22" s="2" t="s">
        <v>116</v>
      </c>
      <c r="C22" s="2" t="s">
        <v>23</v>
      </c>
      <c r="D22" s="2" t="s">
        <v>24</v>
      </c>
      <c r="E22" s="3">
        <v>11.272399999999999</v>
      </c>
      <c r="F22" s="3">
        <v>5.1642000000000001</v>
      </c>
      <c r="G22" s="3">
        <v>0.66839999999999999</v>
      </c>
      <c r="H22" s="3">
        <v>22.06</v>
      </c>
      <c r="I22" s="3">
        <v>7.9399999999999998E-2</v>
      </c>
      <c r="J22" s="3">
        <v>-0.52470000000000006</v>
      </c>
      <c r="K22" s="3">
        <v>3.3399999999999999E-2</v>
      </c>
      <c r="L22" s="3">
        <v>0.29239999999999999</v>
      </c>
    </row>
    <row r="23" spans="1:12" ht="14.1" customHeight="1" x14ac:dyDescent="0.25">
      <c r="A23" s="2" t="s">
        <v>15</v>
      </c>
      <c r="B23" s="2" t="s">
        <v>117</v>
      </c>
      <c r="C23" s="2" t="s">
        <v>25</v>
      </c>
      <c r="D23" s="2" t="s">
        <v>26</v>
      </c>
      <c r="E23" s="3">
        <v>9.7544000000000004</v>
      </c>
      <c r="F23" s="3">
        <v>4.5982000000000003</v>
      </c>
      <c r="G23" s="3">
        <v>0.84840000000000004</v>
      </c>
      <c r="H23" s="3">
        <v>27</v>
      </c>
      <c r="I23" s="3">
        <v>7.8899999999999998E-2</v>
      </c>
      <c r="J23" s="3">
        <v>-1.1359999999999999</v>
      </c>
      <c r="K23" s="3">
        <v>0.03</v>
      </c>
      <c r="L23" s="3">
        <v>0.27150000000000002</v>
      </c>
    </row>
    <row r="24" spans="1:12" ht="14.1" customHeight="1" x14ac:dyDescent="0.25">
      <c r="A24" s="2" t="s">
        <v>15</v>
      </c>
      <c r="B24" s="2" t="s">
        <v>118</v>
      </c>
      <c r="C24" s="2" t="s">
        <v>27</v>
      </c>
      <c r="D24" s="2" t="s">
        <v>28</v>
      </c>
      <c r="E24" s="3">
        <v>10.264900000000001</v>
      </c>
      <c r="F24" s="3">
        <v>4.82</v>
      </c>
      <c r="G24" s="3">
        <v>1.0848</v>
      </c>
      <c r="H24" s="3">
        <v>32.93</v>
      </c>
      <c r="I24" s="3">
        <v>0.1061</v>
      </c>
      <c r="J24" s="3">
        <v>-1.1763999999999999</v>
      </c>
      <c r="K24" s="3">
        <v>2.9600000000000001E-2</v>
      </c>
      <c r="L24" s="3">
        <v>0.29630000000000001</v>
      </c>
    </row>
    <row r="25" spans="1:12" ht="14.1" customHeight="1" x14ac:dyDescent="0.25">
      <c r="A25" s="2" t="s">
        <v>15</v>
      </c>
      <c r="B25" s="2" t="s">
        <v>115</v>
      </c>
      <c r="C25" s="2" t="s">
        <v>19</v>
      </c>
      <c r="D25" s="2" t="s">
        <v>20</v>
      </c>
      <c r="E25" s="3">
        <v>11.0252</v>
      </c>
      <c r="F25" s="3">
        <v>5.5460000000000003</v>
      </c>
      <c r="G25" s="3">
        <v>0.50009999999999999</v>
      </c>
      <c r="H25" s="3">
        <v>13.24</v>
      </c>
      <c r="I25" s="3">
        <v>0.12379999999999999</v>
      </c>
      <c r="J25" s="3">
        <v>-0.2077</v>
      </c>
      <c r="K25" s="3">
        <v>2.5100000000000001E-2</v>
      </c>
      <c r="L25" s="3">
        <v>0.34620000000000001</v>
      </c>
    </row>
    <row r="26" spans="1:12" ht="14.1" customHeight="1" x14ac:dyDescent="0.25">
      <c r="A26" s="2" t="s">
        <v>15</v>
      </c>
      <c r="B26" s="2" t="s">
        <v>116</v>
      </c>
      <c r="C26" s="2" t="s">
        <v>21</v>
      </c>
      <c r="D26" s="2" t="s">
        <v>22</v>
      </c>
      <c r="E26" s="3">
        <v>11.621</v>
      </c>
      <c r="F26" s="3">
        <v>5.2549999999999999</v>
      </c>
      <c r="G26" s="3">
        <v>0.68530000000000002</v>
      </c>
      <c r="H26" s="3">
        <v>22.74</v>
      </c>
      <c r="I26" s="3">
        <v>7.9699999999999993E-2</v>
      </c>
      <c r="J26" s="3">
        <v>-0.47</v>
      </c>
      <c r="K26" s="3">
        <v>2.3699999999999999E-2</v>
      </c>
      <c r="L26" s="3">
        <v>0.28599999999999998</v>
      </c>
    </row>
    <row r="27" spans="1:12" ht="14.1" customHeight="1" x14ac:dyDescent="0.25">
      <c r="A27" s="2" t="s">
        <v>15</v>
      </c>
      <c r="B27" s="2" t="s">
        <v>116</v>
      </c>
      <c r="C27" s="2" t="s">
        <v>16</v>
      </c>
      <c r="D27" s="2" t="s">
        <v>17</v>
      </c>
      <c r="E27" s="3">
        <v>10.4672</v>
      </c>
      <c r="F27" s="3">
        <v>4.5521000000000003</v>
      </c>
      <c r="G27" s="3">
        <v>0.27760000000000001</v>
      </c>
      <c r="H27" s="3">
        <v>10.31</v>
      </c>
      <c r="I27" s="3">
        <v>6.2700000000000006E-2</v>
      </c>
      <c r="J27" s="3">
        <v>-0.46260000000000001</v>
      </c>
      <c r="K27" s="3">
        <v>2.3199999999999998E-2</v>
      </c>
      <c r="L27" s="3">
        <v>0.25950000000000001</v>
      </c>
    </row>
    <row r="28" spans="1:12" ht="14.1" customHeight="1" x14ac:dyDescent="0.25">
      <c r="A28" s="2" t="s">
        <v>15</v>
      </c>
      <c r="B28" s="2" t="s">
        <v>117</v>
      </c>
      <c r="C28" s="2" t="s">
        <v>29</v>
      </c>
      <c r="D28" s="2" t="s">
        <v>30</v>
      </c>
      <c r="E28" s="3">
        <v>9.7253000000000007</v>
      </c>
      <c r="F28" s="3">
        <v>4.6302000000000003</v>
      </c>
      <c r="G28" s="3">
        <v>0.88649999999999995</v>
      </c>
      <c r="H28" s="3">
        <v>28.56</v>
      </c>
      <c r="I28" s="3">
        <v>7.5700000000000003E-2</v>
      </c>
      <c r="J28" s="3">
        <v>-1.1744000000000001</v>
      </c>
      <c r="K28" s="3">
        <v>2.0500000000000001E-2</v>
      </c>
      <c r="L28" s="3">
        <v>0.27089999999999997</v>
      </c>
    </row>
    <row r="29" spans="1:12" ht="14.1" customHeight="1" x14ac:dyDescent="0.25">
      <c r="A29" s="2" t="s">
        <v>15</v>
      </c>
      <c r="B29" s="2" t="s">
        <v>116</v>
      </c>
      <c r="C29" s="2" t="s">
        <v>39</v>
      </c>
      <c r="D29" s="2" t="s">
        <v>40</v>
      </c>
      <c r="E29" s="3">
        <v>11.1678</v>
      </c>
      <c r="F29" s="3">
        <v>4.6294000000000004</v>
      </c>
      <c r="G29" s="3">
        <v>5.3800000000000001E-2</v>
      </c>
      <c r="H29" s="3">
        <v>1.85</v>
      </c>
      <c r="I29" s="3">
        <v>6.4399999999999999E-2</v>
      </c>
      <c r="J29" s="3">
        <v>-0.3695</v>
      </c>
      <c r="K29" s="3">
        <v>9.5999999999999992E-3</v>
      </c>
      <c r="L29" s="3">
        <v>0.24540000000000001</v>
      </c>
    </row>
    <row r="30" spans="1:12" ht="14.1" customHeight="1" x14ac:dyDescent="0.25">
      <c r="A30" s="2" t="s">
        <v>15</v>
      </c>
      <c r="B30" s="2" t="s">
        <v>118</v>
      </c>
      <c r="C30" s="2" t="s">
        <v>25</v>
      </c>
      <c r="D30" s="2" t="s">
        <v>26</v>
      </c>
      <c r="E30" s="3">
        <v>10.039099999999999</v>
      </c>
      <c r="F30" s="3">
        <v>4.7468000000000004</v>
      </c>
      <c r="G30" s="3">
        <v>1.2377</v>
      </c>
      <c r="H30" s="3">
        <v>39.4</v>
      </c>
      <c r="I30" s="3">
        <v>0.1202</v>
      </c>
      <c r="J30" s="3">
        <v>-1.2637</v>
      </c>
      <c r="K30" s="3">
        <v>7.6E-3</v>
      </c>
      <c r="L30" s="3">
        <v>0.30909999999999999</v>
      </c>
    </row>
    <row r="31" spans="1:12" ht="14.1" customHeight="1" x14ac:dyDescent="0.25">
      <c r="A31" s="2" t="s">
        <v>15</v>
      </c>
      <c r="B31" s="2" t="s">
        <v>118</v>
      </c>
      <c r="C31" s="2" t="s">
        <v>16</v>
      </c>
      <c r="D31" s="2" t="s">
        <v>17</v>
      </c>
      <c r="E31" s="3">
        <v>10.4133</v>
      </c>
      <c r="F31" s="3">
        <v>4.3201999999999998</v>
      </c>
      <c r="G31" s="3">
        <v>-2.0899999999999998E-2</v>
      </c>
      <c r="H31" s="3">
        <v>-0.78</v>
      </c>
      <c r="I31" s="3">
        <v>4.3999999999999997E-2</v>
      </c>
      <c r="J31" s="3">
        <v>-0.4481</v>
      </c>
      <c r="K31" s="3">
        <v>2.3E-3</v>
      </c>
      <c r="L31" s="3">
        <v>0.21029999999999999</v>
      </c>
    </row>
    <row r="32" spans="1:12" ht="14.1" customHeight="1" x14ac:dyDescent="0.25">
      <c r="A32" s="2" t="s">
        <v>15</v>
      </c>
      <c r="B32" s="2" t="s">
        <v>117</v>
      </c>
      <c r="C32" s="2" t="s">
        <v>16</v>
      </c>
      <c r="D32" s="2" t="s">
        <v>17</v>
      </c>
      <c r="E32" s="3">
        <v>9.9847999999999999</v>
      </c>
      <c r="F32" s="3">
        <v>4.3600000000000003</v>
      </c>
      <c r="G32" s="3">
        <v>3.8399999999999997E-2</v>
      </c>
      <c r="H32" s="3">
        <v>1.42</v>
      </c>
      <c r="I32" s="3">
        <v>6.6299999999999998E-2</v>
      </c>
      <c r="J32" s="3">
        <v>-0.33090000000000003</v>
      </c>
      <c r="K32" s="3">
        <v>1.1000000000000001E-3</v>
      </c>
      <c r="L32" s="3">
        <v>0.27410000000000001</v>
      </c>
    </row>
    <row r="33" spans="1:12" ht="14.1" customHeight="1" x14ac:dyDescent="0.25">
      <c r="A33" s="2" t="s">
        <v>15</v>
      </c>
      <c r="B33" s="2" t="s">
        <v>119</v>
      </c>
      <c r="C33" s="2" t="s">
        <v>23</v>
      </c>
      <c r="D33" s="2" t="s">
        <v>24</v>
      </c>
      <c r="E33" s="3">
        <v>10.8834</v>
      </c>
      <c r="F33" s="3">
        <v>5.1650999999999998</v>
      </c>
      <c r="G33" s="3">
        <v>0.64839999999999998</v>
      </c>
      <c r="H33" s="3">
        <v>21.41</v>
      </c>
      <c r="I33" s="3">
        <v>6.0699999999999997E-2</v>
      </c>
      <c r="J33" s="3">
        <v>-0.42209999999999998</v>
      </c>
      <c r="K33" s="3">
        <v>-6.3E-3</v>
      </c>
      <c r="L33" s="3">
        <v>0.26250000000000001</v>
      </c>
    </row>
    <row r="34" spans="1:12" ht="14.1" customHeight="1" x14ac:dyDescent="0.25">
      <c r="A34" s="2" t="s">
        <v>15</v>
      </c>
      <c r="B34" s="2" t="s">
        <v>116</v>
      </c>
      <c r="C34" s="2" t="s">
        <v>35</v>
      </c>
      <c r="D34" s="2" t="s">
        <v>36</v>
      </c>
      <c r="E34" s="3">
        <v>12.617800000000001</v>
      </c>
      <c r="F34" s="3">
        <v>5.2914000000000003</v>
      </c>
      <c r="G34" s="3">
        <v>0.66379999999999995</v>
      </c>
      <c r="H34" s="3">
        <v>21.87</v>
      </c>
      <c r="I34" s="3">
        <v>6.7400000000000002E-2</v>
      </c>
      <c r="J34" s="3">
        <v>-0.37869999999999998</v>
      </c>
      <c r="K34" s="3">
        <v>-8.8000000000000005E-3</v>
      </c>
      <c r="L34" s="3">
        <v>0.24729999999999999</v>
      </c>
    </row>
    <row r="35" spans="1:12" ht="14.1" customHeight="1" x14ac:dyDescent="0.25">
      <c r="A35" s="2" t="s">
        <v>15</v>
      </c>
      <c r="B35" s="2" t="s">
        <v>119</v>
      </c>
      <c r="C35" s="2" t="s">
        <v>21</v>
      </c>
      <c r="D35" s="2" t="s">
        <v>22</v>
      </c>
      <c r="E35" s="3">
        <v>11.2424</v>
      </c>
      <c r="F35" s="3">
        <v>5.2413999999999996</v>
      </c>
      <c r="G35" s="3">
        <v>0.66479999999999995</v>
      </c>
      <c r="H35" s="3">
        <v>22.07</v>
      </c>
      <c r="I35" s="3">
        <v>6.2700000000000006E-2</v>
      </c>
      <c r="J35" s="3">
        <v>-0.37659999999999999</v>
      </c>
      <c r="K35" s="3">
        <v>-1.61E-2</v>
      </c>
      <c r="L35" s="3">
        <v>0.25779999999999997</v>
      </c>
    </row>
    <row r="36" spans="1:12" ht="14.1" customHeight="1" x14ac:dyDescent="0.25">
      <c r="A36" s="2" t="s">
        <v>15</v>
      </c>
      <c r="B36" s="2" t="s">
        <v>117</v>
      </c>
      <c r="C36" s="2" t="s">
        <v>23</v>
      </c>
      <c r="D36" s="2" t="s">
        <v>24</v>
      </c>
      <c r="E36" s="3">
        <v>11.6356</v>
      </c>
      <c r="F36" s="3">
        <v>5.4486999999999997</v>
      </c>
      <c r="G36" s="3">
        <v>0.96079999999999999</v>
      </c>
      <c r="H36" s="3">
        <v>31.71</v>
      </c>
      <c r="I36" s="3">
        <v>4.87E-2</v>
      </c>
      <c r="J36" s="3">
        <v>-0.62460000000000004</v>
      </c>
      <c r="K36" s="3">
        <v>-1.6400000000000001E-2</v>
      </c>
      <c r="L36" s="3">
        <v>0.24879999999999999</v>
      </c>
    </row>
    <row r="37" spans="1:12" ht="14.1" customHeight="1" x14ac:dyDescent="0.25">
      <c r="A37" s="2" t="s">
        <v>15</v>
      </c>
      <c r="B37" s="2" t="s">
        <v>119</v>
      </c>
      <c r="C37" s="2" t="s">
        <v>33</v>
      </c>
      <c r="D37" s="2" t="s">
        <v>34</v>
      </c>
      <c r="E37" s="3">
        <v>7.1936</v>
      </c>
      <c r="F37" s="3">
        <v>3.8889</v>
      </c>
      <c r="G37" s="3">
        <v>0.45529999999999998</v>
      </c>
      <c r="H37" s="3">
        <v>14.14</v>
      </c>
      <c r="I37" s="3">
        <v>0.14829999999999999</v>
      </c>
      <c r="J37" s="3">
        <v>-1.9220999999999999</v>
      </c>
      <c r="K37" s="3">
        <v>-1.7500000000000002E-2</v>
      </c>
      <c r="L37" s="3">
        <v>0.3649</v>
      </c>
    </row>
    <row r="38" spans="1:12" ht="14.1" customHeight="1" x14ac:dyDescent="0.25">
      <c r="A38" s="2" t="s">
        <v>15</v>
      </c>
      <c r="B38" s="2" t="s">
        <v>116</v>
      </c>
      <c r="C38" s="2" t="s">
        <v>37</v>
      </c>
      <c r="D38" s="2" t="s">
        <v>38</v>
      </c>
      <c r="E38" s="3">
        <v>11.586</v>
      </c>
      <c r="F38" s="3">
        <v>4.4683000000000002</v>
      </c>
      <c r="G38" s="3">
        <v>0.38519999999999999</v>
      </c>
      <c r="H38" s="3">
        <v>14.89</v>
      </c>
      <c r="I38" s="3">
        <v>5.4600000000000003E-2</v>
      </c>
      <c r="J38" s="3">
        <v>-0.34860000000000002</v>
      </c>
      <c r="K38" s="3">
        <v>-2.0400000000000001E-2</v>
      </c>
      <c r="L38" s="3">
        <v>0.21129999999999999</v>
      </c>
    </row>
    <row r="39" spans="1:12" ht="14.1" customHeight="1" x14ac:dyDescent="0.25">
      <c r="A39" s="2" t="s">
        <v>15</v>
      </c>
      <c r="B39" s="2" t="s">
        <v>116</v>
      </c>
      <c r="C39" s="2" t="s">
        <v>31</v>
      </c>
      <c r="D39" s="2" t="s">
        <v>32</v>
      </c>
      <c r="E39" s="3">
        <v>7.0598999999999998</v>
      </c>
      <c r="F39" s="3">
        <v>3.7881999999999998</v>
      </c>
      <c r="G39" s="3">
        <v>-0.3332</v>
      </c>
      <c r="H39" s="3">
        <v>-10.08</v>
      </c>
      <c r="I39" s="3">
        <v>0.16209999999999999</v>
      </c>
      <c r="J39" s="3">
        <v>-1.984</v>
      </c>
      <c r="K39" s="3">
        <v>-2.2700000000000001E-2</v>
      </c>
      <c r="L39" s="3">
        <v>0.38379999999999997</v>
      </c>
    </row>
    <row r="40" spans="1:12" ht="14.1" customHeight="1" x14ac:dyDescent="0.25">
      <c r="A40" s="2" t="s">
        <v>15</v>
      </c>
      <c r="B40" s="2" t="s">
        <v>118</v>
      </c>
      <c r="C40" s="2" t="s">
        <v>33</v>
      </c>
      <c r="D40" s="2" t="s">
        <v>34</v>
      </c>
      <c r="E40" s="3">
        <v>7.1215000000000002</v>
      </c>
      <c r="F40" s="3">
        <v>3.5419</v>
      </c>
      <c r="G40" s="3">
        <v>-0.54900000000000004</v>
      </c>
      <c r="H40" s="3">
        <v>-17.04</v>
      </c>
      <c r="I40" s="3">
        <v>0.1067</v>
      </c>
      <c r="J40" s="3">
        <v>-1.8637999999999999</v>
      </c>
      <c r="K40" s="3">
        <v>-2.3599999999999999E-2</v>
      </c>
      <c r="L40" s="3">
        <v>0.31790000000000002</v>
      </c>
    </row>
    <row r="41" spans="1:12" ht="14.1" customHeight="1" x14ac:dyDescent="0.25">
      <c r="A41" s="2" t="s">
        <v>15</v>
      </c>
      <c r="B41" s="2" t="s">
        <v>117</v>
      </c>
      <c r="C41" s="2" t="s">
        <v>21</v>
      </c>
      <c r="D41" s="2" t="s">
        <v>22</v>
      </c>
      <c r="E41" s="3">
        <v>10.759</v>
      </c>
      <c r="F41" s="3">
        <v>4.5964999999999998</v>
      </c>
      <c r="G41" s="3">
        <v>-0.28129999999999999</v>
      </c>
      <c r="H41" s="3">
        <v>-9.34</v>
      </c>
      <c r="I41" s="3">
        <v>6.9000000000000006E-2</v>
      </c>
      <c r="J41" s="3">
        <v>-0.26</v>
      </c>
      <c r="K41" s="3">
        <v>-2.4500000000000001E-2</v>
      </c>
      <c r="L41" s="3">
        <v>0.27300000000000002</v>
      </c>
    </row>
    <row r="42" spans="1:12" ht="14.1" customHeight="1" x14ac:dyDescent="0.25">
      <c r="A42" s="2" t="s">
        <v>15</v>
      </c>
      <c r="B42" s="2" t="s">
        <v>115</v>
      </c>
      <c r="C42" s="2" t="s">
        <v>23</v>
      </c>
      <c r="D42" s="2" t="s">
        <v>24</v>
      </c>
      <c r="E42" s="3">
        <v>9.8948</v>
      </c>
      <c r="F42" s="3">
        <v>4.5761000000000003</v>
      </c>
      <c r="G42" s="3">
        <v>2.06E-2</v>
      </c>
      <c r="H42" s="3">
        <v>0.68</v>
      </c>
      <c r="I42" s="3">
        <v>9.2799999999999994E-2</v>
      </c>
      <c r="J42" s="3">
        <v>-0.1731</v>
      </c>
      <c r="K42" s="3">
        <v>-2.6800000000000001E-2</v>
      </c>
      <c r="L42" s="3">
        <v>0.29339999999999999</v>
      </c>
    </row>
    <row r="43" spans="1:12" ht="14.1" customHeight="1" x14ac:dyDescent="0.25">
      <c r="A43" s="2" t="s">
        <v>15</v>
      </c>
      <c r="B43" s="2" t="s">
        <v>119</v>
      </c>
      <c r="C43" s="2" t="s">
        <v>16</v>
      </c>
      <c r="D43" s="2" t="s">
        <v>17</v>
      </c>
      <c r="E43" s="3">
        <v>10.479699999999999</v>
      </c>
      <c r="F43" s="3">
        <v>4.9596999999999998</v>
      </c>
      <c r="G43" s="3">
        <v>0.98340000000000005</v>
      </c>
      <c r="H43" s="3">
        <v>36.51</v>
      </c>
      <c r="I43" s="3">
        <v>7.0800000000000002E-2</v>
      </c>
      <c r="J43" s="3">
        <v>-0.46660000000000001</v>
      </c>
      <c r="K43" s="3">
        <v>-2.9600000000000001E-2</v>
      </c>
      <c r="L43" s="3">
        <v>0.27010000000000001</v>
      </c>
    </row>
    <row r="44" spans="1:12" ht="14.1" customHeight="1" x14ac:dyDescent="0.25">
      <c r="A44" s="2" t="s">
        <v>15</v>
      </c>
      <c r="B44" s="2" t="s">
        <v>118</v>
      </c>
      <c r="C44" s="2" t="s">
        <v>23</v>
      </c>
      <c r="D44" s="2" t="s">
        <v>24</v>
      </c>
      <c r="E44" s="3">
        <v>11.8963</v>
      </c>
      <c r="F44" s="3">
        <v>5.6184000000000003</v>
      </c>
      <c r="G44" s="3">
        <v>1.3505</v>
      </c>
      <c r="H44" s="3">
        <v>44.6</v>
      </c>
      <c r="I44" s="3">
        <v>7.6700000000000004E-2</v>
      </c>
      <c r="J44" s="3">
        <v>-0.69910000000000005</v>
      </c>
      <c r="K44" s="3">
        <v>-2.9899999999999999E-2</v>
      </c>
      <c r="L44" s="3">
        <v>0.27160000000000001</v>
      </c>
    </row>
    <row r="45" spans="1:12" ht="14.1" customHeight="1" x14ac:dyDescent="0.25">
      <c r="A45" s="2" t="s">
        <v>15</v>
      </c>
      <c r="B45" s="2" t="s">
        <v>118</v>
      </c>
      <c r="C45" s="2" t="s">
        <v>21</v>
      </c>
      <c r="D45" s="2" t="s">
        <v>22</v>
      </c>
      <c r="E45" s="3">
        <v>11.204700000000001</v>
      </c>
      <c r="F45" s="3">
        <v>4.6387999999999998</v>
      </c>
      <c r="G45" s="3">
        <v>-0.33950000000000002</v>
      </c>
      <c r="H45" s="3">
        <v>-11.27</v>
      </c>
      <c r="I45" s="3">
        <v>3.9199999999999999E-2</v>
      </c>
      <c r="J45" s="3">
        <v>-0.3674</v>
      </c>
      <c r="K45" s="3">
        <v>-3.0300000000000001E-2</v>
      </c>
      <c r="L45" s="3">
        <v>0.21240000000000001</v>
      </c>
    </row>
    <row r="46" spans="1:12" ht="14.1" customHeight="1" x14ac:dyDescent="0.25">
      <c r="A46" s="2" t="s">
        <v>15</v>
      </c>
      <c r="B46" s="2" t="s">
        <v>118</v>
      </c>
      <c r="C46" s="2" t="s">
        <v>39</v>
      </c>
      <c r="D46" s="2" t="s">
        <v>40</v>
      </c>
      <c r="E46" s="3">
        <v>11.210800000000001</v>
      </c>
      <c r="F46" s="3">
        <v>4.4569999999999999</v>
      </c>
      <c r="G46" s="3">
        <v>-0.2432</v>
      </c>
      <c r="H46" s="3">
        <v>-8.34</v>
      </c>
      <c r="I46" s="3">
        <v>3.1E-2</v>
      </c>
      <c r="J46" s="3">
        <v>-0.38080000000000003</v>
      </c>
      <c r="K46" s="3">
        <v>-3.4200000000000001E-2</v>
      </c>
      <c r="L46" s="3">
        <v>0.19120000000000001</v>
      </c>
    </row>
    <row r="47" spans="1:12" ht="14.1" customHeight="1" x14ac:dyDescent="0.25">
      <c r="A47" s="2" t="s">
        <v>15</v>
      </c>
      <c r="B47" s="2" t="s">
        <v>117</v>
      </c>
      <c r="C47" s="2" t="s">
        <v>39</v>
      </c>
      <c r="D47" s="2" t="s">
        <v>40</v>
      </c>
      <c r="E47" s="3">
        <v>11.933999999999999</v>
      </c>
      <c r="F47" s="3">
        <v>5.3981000000000003</v>
      </c>
      <c r="G47" s="3">
        <v>1.0736000000000001</v>
      </c>
      <c r="H47" s="3">
        <v>36.799999999999997</v>
      </c>
      <c r="I47" s="3">
        <v>5.2999999999999999E-2</v>
      </c>
      <c r="J47" s="3">
        <v>-0.56379999999999997</v>
      </c>
      <c r="K47" s="3">
        <v>-3.5999999999999997E-2</v>
      </c>
      <c r="L47" s="3">
        <v>0.24160000000000001</v>
      </c>
    </row>
    <row r="48" spans="1:12" ht="14.1" customHeight="1" x14ac:dyDescent="0.25">
      <c r="A48" s="2" t="s">
        <v>15</v>
      </c>
      <c r="B48" s="2" t="s">
        <v>119</v>
      </c>
      <c r="C48" s="2" t="s">
        <v>39</v>
      </c>
      <c r="D48" s="2" t="s">
        <v>40</v>
      </c>
      <c r="E48" s="3">
        <v>11.287100000000001</v>
      </c>
      <c r="F48" s="3">
        <v>5.1219999999999999</v>
      </c>
      <c r="G48" s="3">
        <v>0.7611</v>
      </c>
      <c r="H48" s="3">
        <v>26.11</v>
      </c>
      <c r="I48" s="3">
        <v>4.9500000000000002E-2</v>
      </c>
      <c r="J48" s="3">
        <v>-0.3997</v>
      </c>
      <c r="K48" s="3">
        <v>-3.6799999999999999E-2</v>
      </c>
      <c r="L48" s="3">
        <v>0.23580000000000001</v>
      </c>
    </row>
    <row r="49" spans="1:12" ht="14.1" customHeight="1" x14ac:dyDescent="0.25">
      <c r="A49" s="2" t="s">
        <v>15</v>
      </c>
      <c r="B49" s="2" t="s">
        <v>119</v>
      </c>
      <c r="C49" s="2" t="s">
        <v>31</v>
      </c>
      <c r="D49" s="2" t="s">
        <v>32</v>
      </c>
      <c r="E49" s="3">
        <v>7.1269</v>
      </c>
      <c r="F49" s="3">
        <v>3.8725000000000001</v>
      </c>
      <c r="G49" s="3">
        <v>0.37380000000000002</v>
      </c>
      <c r="H49" s="3">
        <v>11.32</v>
      </c>
      <c r="I49" s="3">
        <v>0.15040000000000001</v>
      </c>
      <c r="J49" s="3">
        <v>-2.0417000000000001</v>
      </c>
      <c r="K49" s="3">
        <v>-3.73E-2</v>
      </c>
      <c r="L49" s="3">
        <v>0.36530000000000001</v>
      </c>
    </row>
    <row r="50" spans="1:12" ht="14.1" customHeight="1" x14ac:dyDescent="0.25">
      <c r="A50" s="2" t="s">
        <v>15</v>
      </c>
      <c r="B50" s="2" t="s">
        <v>117</v>
      </c>
      <c r="C50" s="2" t="s">
        <v>37</v>
      </c>
      <c r="D50" s="2" t="s">
        <v>38</v>
      </c>
      <c r="E50" s="3">
        <v>11.15</v>
      </c>
      <c r="F50" s="3">
        <v>4.2930000000000001</v>
      </c>
      <c r="G50" s="3">
        <v>0.1459</v>
      </c>
      <c r="H50" s="3">
        <v>5.64</v>
      </c>
      <c r="I50" s="3">
        <v>5.7700000000000001E-2</v>
      </c>
      <c r="J50" s="3">
        <v>-0.24909999999999999</v>
      </c>
      <c r="K50" s="3">
        <v>-4.1599999999999998E-2</v>
      </c>
      <c r="L50" s="3">
        <v>0.22589999999999999</v>
      </c>
    </row>
    <row r="51" spans="1:12" ht="14.1" customHeight="1" x14ac:dyDescent="0.25">
      <c r="A51" s="2" t="s">
        <v>15</v>
      </c>
      <c r="B51" s="2" t="s">
        <v>118</v>
      </c>
      <c r="C51" s="2" t="s">
        <v>31</v>
      </c>
      <c r="D51" s="2" t="s">
        <v>32</v>
      </c>
      <c r="E51" s="3">
        <v>7.0590000000000002</v>
      </c>
      <c r="F51" s="3">
        <v>3.552</v>
      </c>
      <c r="G51" s="3">
        <v>-0.63060000000000005</v>
      </c>
      <c r="H51" s="3">
        <v>-19.09</v>
      </c>
      <c r="I51" s="3">
        <v>0.1094</v>
      </c>
      <c r="J51" s="3">
        <v>-1.984</v>
      </c>
      <c r="K51" s="3">
        <v>-4.5699999999999998E-2</v>
      </c>
      <c r="L51" s="3">
        <v>0.32140000000000002</v>
      </c>
    </row>
    <row r="52" spans="1:12" ht="14.1" customHeight="1" x14ac:dyDescent="0.25">
      <c r="A52" s="2" t="s">
        <v>15</v>
      </c>
      <c r="B52" s="2" t="s">
        <v>118</v>
      </c>
      <c r="C52" s="2" t="s">
        <v>37</v>
      </c>
      <c r="D52" s="2" t="s">
        <v>38</v>
      </c>
      <c r="E52" s="3">
        <v>11.619300000000001</v>
      </c>
      <c r="F52" s="3">
        <v>4.2953000000000001</v>
      </c>
      <c r="G52" s="3">
        <v>8.7300000000000003E-2</v>
      </c>
      <c r="H52" s="3">
        <v>3.38</v>
      </c>
      <c r="I52" s="3">
        <v>2.2200000000000001E-2</v>
      </c>
      <c r="J52" s="3">
        <v>-0.35720000000000002</v>
      </c>
      <c r="K52" s="3">
        <v>-4.9500000000000002E-2</v>
      </c>
      <c r="L52" s="3">
        <v>0.15620000000000001</v>
      </c>
    </row>
    <row r="53" spans="1:12" ht="14.1" customHeight="1" x14ac:dyDescent="0.25">
      <c r="A53" s="2" t="s">
        <v>15</v>
      </c>
      <c r="B53" s="2" t="s">
        <v>119</v>
      </c>
      <c r="C53" s="2" t="s">
        <v>19</v>
      </c>
      <c r="D53" s="2" t="s">
        <v>20</v>
      </c>
      <c r="E53" s="3">
        <v>11.973100000000001</v>
      </c>
      <c r="F53" s="3">
        <v>6.5025000000000004</v>
      </c>
      <c r="G53" s="3">
        <v>1.7705</v>
      </c>
      <c r="H53" s="3">
        <v>46.99</v>
      </c>
      <c r="I53" s="3">
        <v>9.11E-2</v>
      </c>
      <c r="J53" s="3">
        <v>-0.42720000000000002</v>
      </c>
      <c r="K53" s="3">
        <v>-5.8900000000000001E-2</v>
      </c>
      <c r="L53" s="3">
        <v>0.30790000000000001</v>
      </c>
    </row>
    <row r="54" spans="1:12" ht="14.1" customHeight="1" x14ac:dyDescent="0.25">
      <c r="A54" s="2" t="s">
        <v>15</v>
      </c>
      <c r="B54" s="2" t="s">
        <v>117</v>
      </c>
      <c r="C54" s="2" t="s">
        <v>35</v>
      </c>
      <c r="D54" s="2" t="s">
        <v>36</v>
      </c>
      <c r="E54" s="3">
        <v>13.0093</v>
      </c>
      <c r="F54" s="3">
        <v>5.5464000000000002</v>
      </c>
      <c r="G54" s="3">
        <v>0.95620000000000005</v>
      </c>
      <c r="H54" s="3">
        <v>31.51</v>
      </c>
      <c r="I54" s="3">
        <v>3.0800000000000001E-2</v>
      </c>
      <c r="J54" s="3">
        <v>-0.46560000000000001</v>
      </c>
      <c r="K54" s="3">
        <v>-6.0100000000000001E-2</v>
      </c>
      <c r="L54" s="3">
        <v>0.2014</v>
      </c>
    </row>
    <row r="55" spans="1:12" ht="14.1" customHeight="1" x14ac:dyDescent="0.25">
      <c r="A55" s="2" t="s">
        <v>15</v>
      </c>
      <c r="B55" s="2" t="s">
        <v>119</v>
      </c>
      <c r="C55" s="2" t="s">
        <v>35</v>
      </c>
      <c r="D55" s="2" t="s">
        <v>36</v>
      </c>
      <c r="E55" s="3">
        <v>12.3445</v>
      </c>
      <c r="F55" s="3">
        <v>5.2557999999999998</v>
      </c>
      <c r="G55" s="3">
        <v>0.64229999999999998</v>
      </c>
      <c r="H55" s="3">
        <v>21.17</v>
      </c>
      <c r="I55" s="3">
        <v>3.85E-2</v>
      </c>
      <c r="J55" s="3">
        <v>-0.32019999999999998</v>
      </c>
      <c r="K55" s="3">
        <v>-6.1699999999999998E-2</v>
      </c>
      <c r="L55" s="3">
        <v>0.20699999999999999</v>
      </c>
    </row>
    <row r="56" spans="1:12" ht="14.1" customHeight="1" x14ac:dyDescent="0.25">
      <c r="A56" s="2" t="s">
        <v>15</v>
      </c>
      <c r="B56" s="2" t="s">
        <v>118</v>
      </c>
      <c r="C56" s="2" t="s">
        <v>35</v>
      </c>
      <c r="D56" s="2" t="s">
        <v>36</v>
      </c>
      <c r="E56" s="3">
        <v>13.275600000000001</v>
      </c>
      <c r="F56" s="3">
        <v>5.7302999999999997</v>
      </c>
      <c r="G56" s="3">
        <v>1.3444</v>
      </c>
      <c r="H56" s="3">
        <v>44.31</v>
      </c>
      <c r="I56" s="3">
        <v>5.0500000000000003E-2</v>
      </c>
      <c r="J56" s="3">
        <v>-0.52690000000000003</v>
      </c>
      <c r="K56" s="3">
        <v>-7.3400000000000007E-2</v>
      </c>
      <c r="L56" s="3">
        <v>0.22040000000000001</v>
      </c>
    </row>
    <row r="57" spans="1:12" ht="14.1" customHeight="1" x14ac:dyDescent="0.25">
      <c r="A57" s="2" t="s">
        <v>15</v>
      </c>
      <c r="B57" s="2" t="s">
        <v>115</v>
      </c>
      <c r="C57" s="2" t="s">
        <v>35</v>
      </c>
      <c r="D57" s="2" t="s">
        <v>36</v>
      </c>
      <c r="E57" s="3">
        <v>11.4474</v>
      </c>
      <c r="F57" s="3">
        <v>4.6680000000000001</v>
      </c>
      <c r="G57" s="3">
        <v>1.61E-2</v>
      </c>
      <c r="H57" s="3">
        <v>0.53</v>
      </c>
      <c r="I57" s="3">
        <v>6.9400000000000003E-2</v>
      </c>
      <c r="J57" s="3">
        <v>-0.1333</v>
      </c>
      <c r="K57" s="3">
        <v>-8.5599999999999996E-2</v>
      </c>
      <c r="L57" s="3">
        <v>0.2296</v>
      </c>
    </row>
    <row r="58" spans="1:12" ht="14.1" customHeight="1" x14ac:dyDescent="0.25">
      <c r="A58" s="2" t="s">
        <v>15</v>
      </c>
      <c r="B58" s="2" t="s">
        <v>116</v>
      </c>
      <c r="C58" s="2" t="s">
        <v>33</v>
      </c>
      <c r="D58" s="2" t="s">
        <v>34</v>
      </c>
      <c r="E58" s="3">
        <v>7.7279999999999998</v>
      </c>
      <c r="F58" s="3">
        <v>4.0571999999999999</v>
      </c>
      <c r="G58" s="3">
        <v>0.47589999999999999</v>
      </c>
      <c r="H58" s="3">
        <v>14.77</v>
      </c>
      <c r="I58" s="3">
        <v>0.1966</v>
      </c>
      <c r="J58" s="3">
        <v>-2.3715999999999999</v>
      </c>
      <c r="K58" s="3">
        <v>-0.1055</v>
      </c>
      <c r="L58" s="3">
        <v>0.3931</v>
      </c>
    </row>
    <row r="59" spans="1:12" ht="14.1" customHeight="1" x14ac:dyDescent="0.25">
      <c r="A59" s="2" t="s">
        <v>15</v>
      </c>
      <c r="B59" s="2" t="s">
        <v>119</v>
      </c>
      <c r="C59" s="2" t="s">
        <v>37</v>
      </c>
      <c r="D59" s="2" t="s">
        <v>38</v>
      </c>
      <c r="E59" s="3">
        <v>11.7646</v>
      </c>
      <c r="F59" s="3">
        <v>5.0286999999999997</v>
      </c>
      <c r="G59" s="3">
        <v>1.0915999999999999</v>
      </c>
      <c r="H59" s="3">
        <v>42.23</v>
      </c>
      <c r="I59" s="3">
        <v>3.2300000000000002E-2</v>
      </c>
      <c r="J59" s="3">
        <v>-0.39140000000000003</v>
      </c>
      <c r="K59" s="3">
        <v>-0.11260000000000001</v>
      </c>
      <c r="L59" s="3">
        <v>0.19259999999999999</v>
      </c>
    </row>
    <row r="60" spans="1:12" ht="14.1" customHeight="1" x14ac:dyDescent="0.25">
      <c r="A60" s="2" t="s">
        <v>15</v>
      </c>
      <c r="B60" s="2" t="s">
        <v>115</v>
      </c>
      <c r="C60" s="2" t="s">
        <v>16</v>
      </c>
      <c r="D60" s="2" t="s">
        <v>17</v>
      </c>
      <c r="E60" s="3">
        <v>9.1021999999999998</v>
      </c>
      <c r="F60" s="3">
        <v>3.7736000000000001</v>
      </c>
      <c r="G60" s="3">
        <v>-0.65229999999999999</v>
      </c>
      <c r="H60" s="3">
        <v>-24.17</v>
      </c>
      <c r="I60" s="3">
        <v>7.4300000000000005E-2</v>
      </c>
      <c r="J60" s="3">
        <v>-0.1042</v>
      </c>
      <c r="K60" s="3">
        <v>-0.13100000000000001</v>
      </c>
      <c r="L60" s="3">
        <v>0.2442</v>
      </c>
    </row>
    <row r="61" spans="1:12" ht="14.1" customHeight="1" x14ac:dyDescent="0.25">
      <c r="A61" s="2" t="s">
        <v>15</v>
      </c>
      <c r="B61" s="2" t="s">
        <v>115</v>
      </c>
      <c r="C61" s="2" t="s">
        <v>37</v>
      </c>
      <c r="D61" s="2" t="s">
        <v>38</v>
      </c>
      <c r="E61" s="3">
        <v>10.333</v>
      </c>
      <c r="F61" s="3">
        <v>3.6495000000000002</v>
      </c>
      <c r="G61" s="3">
        <v>-0.54390000000000005</v>
      </c>
      <c r="H61" s="3">
        <v>-21</v>
      </c>
      <c r="I61" s="3">
        <v>7.3099999999999998E-2</v>
      </c>
      <c r="J61" s="3">
        <v>-7.1199999999999999E-2</v>
      </c>
      <c r="K61" s="3">
        <v>-0.15459999999999999</v>
      </c>
      <c r="L61" s="3">
        <v>0.19389999999999999</v>
      </c>
    </row>
    <row r="62" spans="1:12" ht="14.1" customHeight="1" x14ac:dyDescent="0.25">
      <c r="A62" s="2" t="s">
        <v>15</v>
      </c>
      <c r="B62" s="2" t="s">
        <v>115</v>
      </c>
      <c r="C62" s="2" t="s">
        <v>39</v>
      </c>
      <c r="D62" s="2" t="s">
        <v>40</v>
      </c>
      <c r="E62" s="3">
        <v>9.9161999999999999</v>
      </c>
      <c r="F62" s="3">
        <v>3.8418000000000001</v>
      </c>
      <c r="G62" s="3">
        <v>-0.87470000000000003</v>
      </c>
      <c r="H62" s="3">
        <v>-29.94</v>
      </c>
      <c r="I62" s="3">
        <v>8.3000000000000004E-2</v>
      </c>
      <c r="J62" s="3">
        <v>-7.8200000000000006E-2</v>
      </c>
      <c r="K62" s="3">
        <v>-0.15759999999999999</v>
      </c>
      <c r="L62" s="3">
        <v>0.23039999999999999</v>
      </c>
    </row>
    <row r="63" spans="1:12" ht="14.1" customHeight="1" x14ac:dyDescent="0.25">
      <c r="A63" s="2" t="s">
        <v>15</v>
      </c>
      <c r="B63" s="2" t="s">
        <v>115</v>
      </c>
      <c r="C63" s="2" t="s">
        <v>21</v>
      </c>
      <c r="D63" s="2" t="s">
        <v>22</v>
      </c>
      <c r="E63" s="3">
        <v>10.021699999999999</v>
      </c>
      <c r="F63" s="3">
        <v>4.0669000000000004</v>
      </c>
      <c r="G63" s="3">
        <v>-0.96930000000000005</v>
      </c>
      <c r="H63" s="3">
        <v>-32.14</v>
      </c>
      <c r="I63" s="3">
        <v>6.5000000000000002E-2</v>
      </c>
      <c r="J63" s="3">
        <v>-9.2100000000000001E-2</v>
      </c>
      <c r="K63" s="3">
        <v>-0.17860000000000001</v>
      </c>
      <c r="L63" s="3">
        <v>0.2336</v>
      </c>
    </row>
    <row r="64" spans="1:12" ht="14.1" customHeight="1" x14ac:dyDescent="0.25">
      <c r="A64" s="2" t="s">
        <v>15</v>
      </c>
      <c r="B64" s="2" t="s">
        <v>117</v>
      </c>
      <c r="C64" s="2" t="s">
        <v>31</v>
      </c>
      <c r="D64" s="2" t="s">
        <v>32</v>
      </c>
      <c r="E64" s="3">
        <v>8.1082000000000001</v>
      </c>
      <c r="F64" s="3">
        <v>4.1679000000000004</v>
      </c>
      <c r="G64" s="3">
        <v>0.6865</v>
      </c>
      <c r="H64" s="3">
        <v>20.78</v>
      </c>
      <c r="I64" s="3">
        <v>0.15</v>
      </c>
      <c r="J64" s="3">
        <v>-2.9359000000000002</v>
      </c>
      <c r="K64" s="3">
        <v>-0.22819999999999999</v>
      </c>
      <c r="L64" s="3">
        <v>0.33450000000000002</v>
      </c>
    </row>
    <row r="65" spans="1:12" ht="14.1" customHeight="1" x14ac:dyDescent="0.25">
      <c r="A65" s="4" t="s">
        <v>41</v>
      </c>
      <c r="B65" s="4" t="s">
        <v>116</v>
      </c>
      <c r="C65" s="4" t="s">
        <v>31</v>
      </c>
      <c r="D65" s="4" t="s">
        <v>32</v>
      </c>
      <c r="E65" s="18">
        <v>4.5336999999999996</v>
      </c>
      <c r="F65" s="18">
        <v>2.8012999999999999</v>
      </c>
      <c r="G65" s="18">
        <v>2.07E-2</v>
      </c>
      <c r="H65" s="18">
        <v>0.63</v>
      </c>
      <c r="I65" s="18">
        <v>0.34039999999999998</v>
      </c>
      <c r="J65" s="18">
        <v>-0.2306</v>
      </c>
      <c r="K65" s="18">
        <v>0.33660000000000001</v>
      </c>
      <c r="L65" s="18">
        <v>0.5786</v>
      </c>
    </row>
    <row r="66" spans="1:12" ht="14.1" customHeight="1" x14ac:dyDescent="0.25">
      <c r="A66" s="4" t="s">
        <v>41</v>
      </c>
      <c r="B66" s="4" t="s">
        <v>116</v>
      </c>
      <c r="C66" s="4" t="s">
        <v>33</v>
      </c>
      <c r="D66" s="4" t="s">
        <v>34</v>
      </c>
      <c r="E66" s="18">
        <v>4.7152000000000003</v>
      </c>
      <c r="F66" s="18">
        <v>2.8580000000000001</v>
      </c>
      <c r="G66" s="18">
        <v>1.8200000000000001E-2</v>
      </c>
      <c r="H66" s="18">
        <v>0.56000000000000005</v>
      </c>
      <c r="I66" s="18">
        <v>0.3196</v>
      </c>
      <c r="J66" s="18">
        <v>-0.25509999999999999</v>
      </c>
      <c r="K66" s="18">
        <v>0.31459999999999999</v>
      </c>
      <c r="L66" s="18">
        <v>0.56089999999999995</v>
      </c>
    </row>
    <row r="67" spans="1:12" ht="14.1" customHeight="1" x14ac:dyDescent="0.25">
      <c r="A67" s="4" t="s">
        <v>41</v>
      </c>
      <c r="B67" s="4" t="s">
        <v>115</v>
      </c>
      <c r="C67" s="4" t="s">
        <v>31</v>
      </c>
      <c r="D67" s="4" t="s">
        <v>32</v>
      </c>
      <c r="E67" s="18">
        <v>4.6081000000000003</v>
      </c>
      <c r="F67" s="18">
        <v>2.8304999999999998</v>
      </c>
      <c r="G67" s="18">
        <v>1.9199999999999998E-2</v>
      </c>
      <c r="H67" s="18">
        <v>0.57999999999999996</v>
      </c>
      <c r="I67" s="18">
        <v>0.317</v>
      </c>
      <c r="J67" s="18">
        <v>-0.2717</v>
      </c>
      <c r="K67" s="18">
        <v>0.31309999999999999</v>
      </c>
      <c r="L67" s="18">
        <v>0.55930000000000002</v>
      </c>
    </row>
    <row r="68" spans="1:12" ht="14.1" customHeight="1" x14ac:dyDescent="0.25">
      <c r="A68" s="4" t="s">
        <v>41</v>
      </c>
      <c r="B68" s="4" t="s">
        <v>119</v>
      </c>
      <c r="C68" s="4" t="s">
        <v>31</v>
      </c>
      <c r="D68" s="4" t="s">
        <v>32</v>
      </c>
      <c r="E68" s="18">
        <v>4.6338999999999997</v>
      </c>
      <c r="F68" s="18">
        <v>2.8481999999999998</v>
      </c>
      <c r="G68" s="18">
        <v>1.72E-2</v>
      </c>
      <c r="H68" s="18">
        <v>0.52</v>
      </c>
      <c r="I68" s="18">
        <v>0.31119999999999998</v>
      </c>
      <c r="J68" s="18">
        <v>-0.28589999999999999</v>
      </c>
      <c r="K68" s="18">
        <v>0.30759999999999998</v>
      </c>
      <c r="L68" s="18">
        <v>0.5554</v>
      </c>
    </row>
    <row r="69" spans="1:12" ht="14.1" customHeight="1" x14ac:dyDescent="0.25">
      <c r="A69" s="4" t="s">
        <v>41</v>
      </c>
      <c r="B69" s="4" t="s">
        <v>117</v>
      </c>
      <c r="C69" s="4" t="s">
        <v>31</v>
      </c>
      <c r="D69" s="4" t="s">
        <v>32</v>
      </c>
      <c r="E69" s="18">
        <v>4.6440999999999999</v>
      </c>
      <c r="F69" s="18">
        <v>2.8742000000000001</v>
      </c>
      <c r="G69" s="18">
        <v>2.0299999999999999E-2</v>
      </c>
      <c r="H69" s="18">
        <v>0.62</v>
      </c>
      <c r="I69" s="18">
        <v>0.30919999999999997</v>
      </c>
      <c r="J69" s="18">
        <v>-0.29120000000000001</v>
      </c>
      <c r="K69" s="18">
        <v>0.30580000000000002</v>
      </c>
      <c r="L69" s="18">
        <v>0.55420000000000003</v>
      </c>
    </row>
    <row r="70" spans="1:12" ht="14.1" customHeight="1" x14ac:dyDescent="0.25">
      <c r="A70" s="4" t="s">
        <v>41</v>
      </c>
      <c r="B70" s="4" t="s">
        <v>118</v>
      </c>
      <c r="C70" s="4" t="s">
        <v>31</v>
      </c>
      <c r="D70" s="4" t="s">
        <v>32</v>
      </c>
      <c r="E70" s="18">
        <v>4.6757</v>
      </c>
      <c r="F70" s="18">
        <v>2.8805000000000001</v>
      </c>
      <c r="G70" s="18">
        <v>1.84E-2</v>
      </c>
      <c r="H70" s="18">
        <v>0.56000000000000005</v>
      </c>
      <c r="I70" s="18">
        <v>0.29899999999999999</v>
      </c>
      <c r="J70" s="18">
        <v>-0.30919999999999997</v>
      </c>
      <c r="K70" s="18">
        <v>0.29549999999999998</v>
      </c>
      <c r="L70" s="18">
        <v>0.54479999999999995</v>
      </c>
    </row>
    <row r="71" spans="1:12" ht="14.1" customHeight="1" x14ac:dyDescent="0.25">
      <c r="A71" s="4" t="s">
        <v>41</v>
      </c>
      <c r="B71" s="4" t="s">
        <v>115</v>
      </c>
      <c r="C71" s="4" t="s">
        <v>33</v>
      </c>
      <c r="D71" s="4" t="s">
        <v>34</v>
      </c>
      <c r="E71" s="18">
        <v>4.8082000000000003</v>
      </c>
      <c r="F71" s="18">
        <v>2.9157000000000002</v>
      </c>
      <c r="G71" s="18">
        <v>2.0199999999999999E-2</v>
      </c>
      <c r="H71" s="18">
        <v>0.63</v>
      </c>
      <c r="I71" s="18">
        <v>0.29199999999999998</v>
      </c>
      <c r="J71" s="18">
        <v>-0.30549999999999999</v>
      </c>
      <c r="K71" s="18">
        <v>0.28710000000000002</v>
      </c>
      <c r="L71" s="18">
        <v>0.53769999999999996</v>
      </c>
    </row>
    <row r="72" spans="1:12" ht="14.1" customHeight="1" x14ac:dyDescent="0.25">
      <c r="A72" s="4" t="s">
        <v>41</v>
      </c>
      <c r="B72" s="4" t="s">
        <v>119</v>
      </c>
      <c r="C72" s="4" t="s">
        <v>33</v>
      </c>
      <c r="D72" s="4" t="s">
        <v>34</v>
      </c>
      <c r="E72" s="18">
        <v>4.8278999999999996</v>
      </c>
      <c r="F72" s="18">
        <v>2.9359000000000002</v>
      </c>
      <c r="G72" s="18">
        <v>1.7600000000000001E-2</v>
      </c>
      <c r="H72" s="18">
        <v>0.55000000000000004</v>
      </c>
      <c r="I72" s="18">
        <v>0.28770000000000001</v>
      </c>
      <c r="J72" s="18">
        <v>-0.31619999999999998</v>
      </c>
      <c r="K72" s="18">
        <v>0.28320000000000001</v>
      </c>
      <c r="L72" s="18">
        <v>0.53490000000000004</v>
      </c>
    </row>
    <row r="73" spans="1:12" ht="14.1" customHeight="1" x14ac:dyDescent="0.25">
      <c r="A73" s="4" t="s">
        <v>41</v>
      </c>
      <c r="B73" s="4" t="s">
        <v>117</v>
      </c>
      <c r="C73" s="4" t="s">
        <v>33</v>
      </c>
      <c r="D73" s="4" t="s">
        <v>34</v>
      </c>
      <c r="E73" s="18">
        <v>4.8448000000000002</v>
      </c>
      <c r="F73" s="18">
        <v>2.9725000000000001</v>
      </c>
      <c r="G73" s="18">
        <v>2.5600000000000001E-2</v>
      </c>
      <c r="H73" s="18">
        <v>0.8</v>
      </c>
      <c r="I73" s="18">
        <v>0.28399999999999997</v>
      </c>
      <c r="J73" s="18">
        <v>-0.3251</v>
      </c>
      <c r="K73" s="18">
        <v>0.27960000000000002</v>
      </c>
      <c r="L73" s="18">
        <v>0.53069999999999995</v>
      </c>
    </row>
    <row r="74" spans="1:12" ht="14.1" customHeight="1" x14ac:dyDescent="0.25">
      <c r="A74" s="4" t="s">
        <v>41</v>
      </c>
      <c r="B74" s="4" t="s">
        <v>118</v>
      </c>
      <c r="C74" s="4" t="s">
        <v>33</v>
      </c>
      <c r="D74" s="4" t="s">
        <v>34</v>
      </c>
      <c r="E74" s="18">
        <v>4.8536999999999999</v>
      </c>
      <c r="F74" s="18">
        <v>2.9573</v>
      </c>
      <c r="G74" s="18">
        <v>1.89E-2</v>
      </c>
      <c r="H74" s="18">
        <v>0.59</v>
      </c>
      <c r="I74" s="18">
        <v>0.28039999999999998</v>
      </c>
      <c r="J74" s="18">
        <v>-0.33029999999999998</v>
      </c>
      <c r="K74" s="18">
        <v>0.27600000000000002</v>
      </c>
      <c r="L74" s="18">
        <v>0.5272</v>
      </c>
    </row>
    <row r="75" spans="1:12" ht="14.1" customHeight="1" x14ac:dyDescent="0.25">
      <c r="A75" s="4" t="s">
        <v>41</v>
      </c>
      <c r="B75" s="4" t="s">
        <v>118</v>
      </c>
      <c r="C75" s="4" t="s">
        <v>25</v>
      </c>
      <c r="D75" s="4" t="s">
        <v>26</v>
      </c>
      <c r="E75" s="18">
        <v>7.7465999999999999</v>
      </c>
      <c r="F75" s="18">
        <v>3.8523999999999998</v>
      </c>
      <c r="G75" s="18">
        <v>2.5899999999999999E-2</v>
      </c>
      <c r="H75" s="18">
        <v>0.82</v>
      </c>
      <c r="I75" s="18">
        <v>0.1376</v>
      </c>
      <c r="J75" s="18">
        <v>-0.34789999999999999</v>
      </c>
      <c r="K75" s="18">
        <v>0.10009999999999999</v>
      </c>
      <c r="L75" s="18">
        <v>0.36359999999999998</v>
      </c>
    </row>
    <row r="76" spans="1:12" ht="14.1" customHeight="1" x14ac:dyDescent="0.25">
      <c r="A76" s="4" t="s">
        <v>41</v>
      </c>
      <c r="B76" s="4" t="s">
        <v>116</v>
      </c>
      <c r="C76" s="4" t="s">
        <v>19</v>
      </c>
      <c r="D76" s="4" t="s">
        <v>20</v>
      </c>
      <c r="E76" s="18">
        <v>12.535600000000001</v>
      </c>
      <c r="F76" s="18">
        <v>5.7138</v>
      </c>
      <c r="G76" s="18">
        <v>4.02E-2</v>
      </c>
      <c r="H76" s="18">
        <v>1.06</v>
      </c>
      <c r="I76" s="18">
        <v>0.1045</v>
      </c>
      <c r="J76" s="18">
        <v>-0.5635</v>
      </c>
      <c r="K76" s="18">
        <v>9.3899999999999997E-2</v>
      </c>
      <c r="L76" s="18">
        <v>0.33650000000000002</v>
      </c>
    </row>
    <row r="77" spans="1:12" ht="14.1" customHeight="1" x14ac:dyDescent="0.25">
      <c r="A77" s="4" t="s">
        <v>41</v>
      </c>
      <c r="B77" s="4" t="s">
        <v>116</v>
      </c>
      <c r="C77" s="4" t="s">
        <v>25</v>
      </c>
      <c r="D77" s="4" t="s">
        <v>26</v>
      </c>
      <c r="E77" s="18">
        <v>7.7956000000000003</v>
      </c>
      <c r="F77" s="18">
        <v>3.8460000000000001</v>
      </c>
      <c r="G77" s="18">
        <v>2.6200000000000001E-2</v>
      </c>
      <c r="H77" s="18">
        <v>0.83</v>
      </c>
      <c r="I77" s="18">
        <v>0.1255</v>
      </c>
      <c r="J77" s="18">
        <v>-0.36430000000000001</v>
      </c>
      <c r="K77" s="18">
        <v>8.8200000000000001E-2</v>
      </c>
      <c r="L77" s="18">
        <v>0.35649999999999998</v>
      </c>
    </row>
    <row r="78" spans="1:12" ht="14.1" customHeight="1" x14ac:dyDescent="0.25">
      <c r="A78" s="4" t="s">
        <v>41</v>
      </c>
      <c r="B78" s="4" t="s">
        <v>116</v>
      </c>
      <c r="C78" s="4" t="s">
        <v>29</v>
      </c>
      <c r="D78" s="4" t="s">
        <v>30</v>
      </c>
      <c r="E78" s="18">
        <v>7.6638000000000002</v>
      </c>
      <c r="F78" s="18">
        <v>3.7751999999999999</v>
      </c>
      <c r="G78" s="18">
        <v>2.8000000000000001E-2</v>
      </c>
      <c r="H78" s="18">
        <v>0.9</v>
      </c>
      <c r="I78" s="18">
        <v>0.1268</v>
      </c>
      <c r="J78" s="18">
        <v>-0.3503</v>
      </c>
      <c r="K78" s="18">
        <v>8.6599999999999996E-2</v>
      </c>
      <c r="L78" s="18">
        <v>0.35560000000000003</v>
      </c>
    </row>
    <row r="79" spans="1:12" ht="14.1" customHeight="1" x14ac:dyDescent="0.25">
      <c r="A79" s="4" t="s">
        <v>41</v>
      </c>
      <c r="B79" s="4" t="s">
        <v>115</v>
      </c>
      <c r="C79" s="4" t="s">
        <v>25</v>
      </c>
      <c r="D79" s="4" t="s">
        <v>26</v>
      </c>
      <c r="E79" s="18">
        <v>7.7823000000000002</v>
      </c>
      <c r="F79" s="18">
        <v>3.8407</v>
      </c>
      <c r="G79" s="18">
        <v>2.3800000000000002E-2</v>
      </c>
      <c r="H79" s="18">
        <v>0.76</v>
      </c>
      <c r="I79" s="18">
        <v>0.12330000000000001</v>
      </c>
      <c r="J79" s="18">
        <v>-0.36030000000000001</v>
      </c>
      <c r="K79" s="18">
        <v>8.4400000000000003E-2</v>
      </c>
      <c r="L79" s="18">
        <v>0.35149999999999998</v>
      </c>
    </row>
    <row r="80" spans="1:12" ht="14.1" customHeight="1" x14ac:dyDescent="0.25">
      <c r="A80" s="4" t="s">
        <v>41</v>
      </c>
      <c r="B80" s="4" t="s">
        <v>118</v>
      </c>
      <c r="C80" s="4" t="s">
        <v>19</v>
      </c>
      <c r="D80" s="4" t="s">
        <v>20</v>
      </c>
      <c r="E80" s="18">
        <v>12.6797</v>
      </c>
      <c r="F80" s="18">
        <v>5.7690999999999999</v>
      </c>
      <c r="G80" s="18">
        <v>4.7699999999999999E-2</v>
      </c>
      <c r="H80" s="18">
        <v>1.27</v>
      </c>
      <c r="I80" s="18">
        <v>8.9700000000000002E-2</v>
      </c>
      <c r="J80" s="18">
        <v>-0.60060000000000002</v>
      </c>
      <c r="K80" s="18">
        <v>8.0299999999999996E-2</v>
      </c>
      <c r="L80" s="18">
        <v>0.3211</v>
      </c>
    </row>
    <row r="81" spans="1:12" ht="14.1" customHeight="1" x14ac:dyDescent="0.25">
      <c r="A81" s="4" t="s">
        <v>41</v>
      </c>
      <c r="B81" s="4" t="s">
        <v>117</v>
      </c>
      <c r="C81" s="4" t="s">
        <v>19</v>
      </c>
      <c r="D81" s="4" t="s">
        <v>20</v>
      </c>
      <c r="E81" s="18">
        <v>12.721299999999999</v>
      </c>
      <c r="F81" s="18">
        <v>5.9059999999999997</v>
      </c>
      <c r="G81" s="18">
        <v>5.33E-2</v>
      </c>
      <c r="H81" s="18">
        <v>1.41</v>
      </c>
      <c r="I81" s="18">
        <v>8.7800000000000003E-2</v>
      </c>
      <c r="J81" s="18">
        <v>-0.61019999999999996</v>
      </c>
      <c r="K81" s="18">
        <v>7.9100000000000004E-2</v>
      </c>
      <c r="L81" s="18">
        <v>0.32150000000000001</v>
      </c>
    </row>
    <row r="82" spans="1:12" ht="14.1" customHeight="1" x14ac:dyDescent="0.25">
      <c r="A82" s="4" t="s">
        <v>41</v>
      </c>
      <c r="B82" s="4" t="s">
        <v>116</v>
      </c>
      <c r="C82" s="4" t="s">
        <v>16</v>
      </c>
      <c r="D82" s="4" t="s">
        <v>17</v>
      </c>
      <c r="E82" s="18">
        <v>11.4412</v>
      </c>
      <c r="F82" s="18">
        <v>4.4987000000000004</v>
      </c>
      <c r="G82" s="18">
        <v>5.8000000000000003E-2</v>
      </c>
      <c r="H82" s="18">
        <v>2.15</v>
      </c>
      <c r="I82" s="18">
        <v>7.7700000000000005E-2</v>
      </c>
      <c r="J82" s="18">
        <v>-0.74750000000000005</v>
      </c>
      <c r="K82" s="18">
        <v>7.5899999999999995E-2</v>
      </c>
      <c r="L82" s="18">
        <v>0.28799999999999998</v>
      </c>
    </row>
    <row r="83" spans="1:12" ht="14.1" customHeight="1" x14ac:dyDescent="0.25">
      <c r="A83" s="4" t="s">
        <v>41</v>
      </c>
      <c r="B83" s="4" t="s">
        <v>119</v>
      </c>
      <c r="C83" s="4" t="s">
        <v>19</v>
      </c>
      <c r="D83" s="4" t="s">
        <v>20</v>
      </c>
      <c r="E83" s="18">
        <v>12.714399999999999</v>
      </c>
      <c r="F83" s="18">
        <v>5.8395999999999999</v>
      </c>
      <c r="G83" s="18">
        <v>4.6899999999999997E-2</v>
      </c>
      <c r="H83" s="18">
        <v>1.25</v>
      </c>
      <c r="I83" s="18">
        <v>8.4199999999999997E-2</v>
      </c>
      <c r="J83" s="18">
        <v>-0.60929999999999995</v>
      </c>
      <c r="K83" s="18">
        <v>7.4800000000000005E-2</v>
      </c>
      <c r="L83" s="18">
        <v>0.31869999999999998</v>
      </c>
    </row>
    <row r="84" spans="1:12" ht="14.1" customHeight="1" x14ac:dyDescent="0.25">
      <c r="A84" s="4" t="s">
        <v>41</v>
      </c>
      <c r="B84" s="4" t="s">
        <v>117</v>
      </c>
      <c r="C84" s="4" t="s">
        <v>25</v>
      </c>
      <c r="D84" s="4" t="s">
        <v>26</v>
      </c>
      <c r="E84" s="18">
        <v>7.8781999999999996</v>
      </c>
      <c r="F84" s="18">
        <v>3.8883999999999999</v>
      </c>
      <c r="G84" s="18">
        <v>2.98E-2</v>
      </c>
      <c r="H84" s="18">
        <v>0.95</v>
      </c>
      <c r="I84" s="18">
        <v>0.1095</v>
      </c>
      <c r="J84" s="18">
        <v>-0.39329999999999998</v>
      </c>
      <c r="K84" s="18">
        <v>7.3999999999999996E-2</v>
      </c>
      <c r="L84" s="18">
        <v>0.33360000000000001</v>
      </c>
    </row>
    <row r="85" spans="1:12" ht="14.1" customHeight="1" x14ac:dyDescent="0.25">
      <c r="A85" s="4" t="s">
        <v>41</v>
      </c>
      <c r="B85" s="4" t="s">
        <v>119</v>
      </c>
      <c r="C85" s="4" t="s">
        <v>25</v>
      </c>
      <c r="D85" s="4" t="s">
        <v>26</v>
      </c>
      <c r="E85" s="18">
        <v>7.8693999999999997</v>
      </c>
      <c r="F85" s="18">
        <v>3.9201000000000001</v>
      </c>
      <c r="G85" s="18">
        <v>2.7199999999999998E-2</v>
      </c>
      <c r="H85" s="18">
        <v>0.87</v>
      </c>
      <c r="I85" s="18">
        <v>0.10970000000000001</v>
      </c>
      <c r="J85" s="18">
        <v>-0.39090000000000003</v>
      </c>
      <c r="K85" s="18">
        <v>7.3800000000000004E-2</v>
      </c>
      <c r="L85" s="18">
        <v>0.34060000000000001</v>
      </c>
    </row>
    <row r="86" spans="1:12" ht="14.1" customHeight="1" x14ac:dyDescent="0.25">
      <c r="A86" s="4" t="s">
        <v>41</v>
      </c>
      <c r="B86" s="4" t="s">
        <v>115</v>
      </c>
      <c r="C86" s="4" t="s">
        <v>19</v>
      </c>
      <c r="D86" s="4" t="s">
        <v>20</v>
      </c>
      <c r="E86" s="18">
        <v>12.6442</v>
      </c>
      <c r="F86" s="18">
        <v>5.8170000000000002</v>
      </c>
      <c r="G86" s="18">
        <v>3.8100000000000002E-2</v>
      </c>
      <c r="H86" s="18">
        <v>1.01</v>
      </c>
      <c r="I86" s="18">
        <v>8.4500000000000006E-2</v>
      </c>
      <c r="J86" s="18">
        <v>-0.59160000000000001</v>
      </c>
      <c r="K86" s="18">
        <v>7.3599999999999999E-2</v>
      </c>
      <c r="L86" s="18">
        <v>0.31840000000000002</v>
      </c>
    </row>
    <row r="87" spans="1:12" ht="14.1" customHeight="1" x14ac:dyDescent="0.25">
      <c r="A87" s="4" t="s">
        <v>41</v>
      </c>
      <c r="B87" s="4" t="s">
        <v>118</v>
      </c>
      <c r="C87" s="4" t="s">
        <v>27</v>
      </c>
      <c r="D87" s="4" t="s">
        <v>28</v>
      </c>
      <c r="E87" s="18">
        <v>8.0002999999999993</v>
      </c>
      <c r="F87" s="18">
        <v>3.9739</v>
      </c>
      <c r="G87" s="18">
        <v>2.6100000000000002E-2</v>
      </c>
      <c r="H87" s="18">
        <v>0.79</v>
      </c>
      <c r="I87" s="18">
        <v>0.122</v>
      </c>
      <c r="J87" s="18">
        <v>-0.32200000000000001</v>
      </c>
      <c r="K87" s="18">
        <v>7.2900000000000006E-2</v>
      </c>
      <c r="L87" s="18">
        <v>0.34889999999999999</v>
      </c>
    </row>
    <row r="88" spans="1:12" ht="14.1" customHeight="1" x14ac:dyDescent="0.25">
      <c r="A88" s="4" t="s">
        <v>41</v>
      </c>
      <c r="B88" s="4" t="s">
        <v>116</v>
      </c>
      <c r="C88" s="4" t="s">
        <v>27</v>
      </c>
      <c r="D88" s="4" t="s">
        <v>28</v>
      </c>
      <c r="E88" s="18">
        <v>8.0023</v>
      </c>
      <c r="F88" s="18">
        <v>3.9308000000000001</v>
      </c>
      <c r="G88" s="18">
        <v>2.7199999999999998E-2</v>
      </c>
      <c r="H88" s="18">
        <v>0.83</v>
      </c>
      <c r="I88" s="18">
        <v>0.1212</v>
      </c>
      <c r="J88" s="18">
        <v>-0.32200000000000001</v>
      </c>
      <c r="K88" s="18">
        <v>7.1900000000000006E-2</v>
      </c>
      <c r="L88" s="18">
        <v>0.35239999999999999</v>
      </c>
    </row>
    <row r="89" spans="1:12" ht="14.1" customHeight="1" x14ac:dyDescent="0.25">
      <c r="A89" s="4" t="s">
        <v>41</v>
      </c>
      <c r="B89" s="4" t="s">
        <v>115</v>
      </c>
      <c r="C89" s="4" t="s">
        <v>27</v>
      </c>
      <c r="D89" s="4" t="s">
        <v>28</v>
      </c>
      <c r="E89" s="18">
        <v>7.9813000000000001</v>
      </c>
      <c r="F89" s="18">
        <v>3.9380000000000002</v>
      </c>
      <c r="G89" s="18">
        <v>2.4899999999999999E-2</v>
      </c>
      <c r="H89" s="18">
        <v>0.76</v>
      </c>
      <c r="I89" s="18">
        <v>0.1215</v>
      </c>
      <c r="J89" s="18">
        <v>-0.31569999999999998</v>
      </c>
      <c r="K89" s="18">
        <v>7.0400000000000004E-2</v>
      </c>
      <c r="L89" s="18">
        <v>0.34960000000000002</v>
      </c>
    </row>
    <row r="90" spans="1:12" ht="14.1" customHeight="1" x14ac:dyDescent="0.25">
      <c r="A90" s="4" t="s">
        <v>41</v>
      </c>
      <c r="B90" s="4" t="s">
        <v>116</v>
      </c>
      <c r="C90" s="4" t="s">
        <v>21</v>
      </c>
      <c r="D90" s="4" t="s">
        <v>22</v>
      </c>
      <c r="E90" s="18">
        <v>12.7</v>
      </c>
      <c r="F90" s="18">
        <v>5.0185000000000004</v>
      </c>
      <c r="G90" s="18">
        <v>5.8099999999999999E-2</v>
      </c>
      <c r="H90" s="18">
        <v>1.93</v>
      </c>
      <c r="I90" s="18">
        <v>7.0800000000000002E-2</v>
      </c>
      <c r="J90" s="18">
        <v>-0.75560000000000005</v>
      </c>
      <c r="K90" s="18">
        <v>6.8900000000000003E-2</v>
      </c>
      <c r="L90" s="18">
        <v>0.27910000000000001</v>
      </c>
    </row>
    <row r="91" spans="1:12" ht="14.1" customHeight="1" x14ac:dyDescent="0.25">
      <c r="A91" s="4" t="s">
        <v>41</v>
      </c>
      <c r="B91" s="4" t="s">
        <v>118</v>
      </c>
      <c r="C91" s="4" t="s">
        <v>29</v>
      </c>
      <c r="D91" s="4" t="s">
        <v>30</v>
      </c>
      <c r="E91" s="18">
        <v>7.7508999999999997</v>
      </c>
      <c r="F91" s="18">
        <v>3.8142999999999998</v>
      </c>
      <c r="G91" s="18">
        <v>2.81E-2</v>
      </c>
      <c r="H91" s="18">
        <v>0.91</v>
      </c>
      <c r="I91" s="18">
        <v>0.10730000000000001</v>
      </c>
      <c r="J91" s="18">
        <v>-0.38169999999999998</v>
      </c>
      <c r="K91" s="18">
        <v>6.8599999999999994E-2</v>
      </c>
      <c r="L91" s="18">
        <v>0.33689999999999998</v>
      </c>
    </row>
    <row r="92" spans="1:12" ht="14.1" customHeight="1" x14ac:dyDescent="0.25">
      <c r="A92" s="4" t="s">
        <v>41</v>
      </c>
      <c r="B92" s="4" t="s">
        <v>117</v>
      </c>
      <c r="C92" s="4" t="s">
        <v>29</v>
      </c>
      <c r="D92" s="4" t="s">
        <v>30</v>
      </c>
      <c r="E92" s="18">
        <v>7.7605000000000004</v>
      </c>
      <c r="F92" s="18">
        <v>3.8391000000000002</v>
      </c>
      <c r="G92" s="18">
        <v>3.1300000000000001E-2</v>
      </c>
      <c r="H92" s="18">
        <v>1.01</v>
      </c>
      <c r="I92" s="18">
        <v>0.1065</v>
      </c>
      <c r="J92" s="18">
        <v>-0.3846</v>
      </c>
      <c r="K92" s="18">
        <v>6.8199999999999997E-2</v>
      </c>
      <c r="L92" s="18">
        <v>0.33639999999999998</v>
      </c>
    </row>
    <row r="93" spans="1:12" ht="14.1" customHeight="1" x14ac:dyDescent="0.25">
      <c r="A93" s="4" t="s">
        <v>41</v>
      </c>
      <c r="B93" s="4" t="s">
        <v>116</v>
      </c>
      <c r="C93" s="4" t="s">
        <v>39</v>
      </c>
      <c r="D93" s="4" t="s">
        <v>40</v>
      </c>
      <c r="E93" s="18">
        <v>12.3711</v>
      </c>
      <c r="F93" s="18">
        <v>4.7652000000000001</v>
      </c>
      <c r="G93" s="18">
        <v>6.4600000000000005E-2</v>
      </c>
      <c r="H93" s="18">
        <v>2.2200000000000002</v>
      </c>
      <c r="I93" s="18">
        <v>7.3200000000000001E-2</v>
      </c>
      <c r="J93" s="18">
        <v>-0.68049999999999999</v>
      </c>
      <c r="K93" s="18">
        <v>6.7699999999999996E-2</v>
      </c>
      <c r="L93" s="18">
        <v>0.26779999999999998</v>
      </c>
    </row>
    <row r="94" spans="1:12" ht="14.1" customHeight="1" x14ac:dyDescent="0.25">
      <c r="A94" s="4" t="s">
        <v>41</v>
      </c>
      <c r="B94" s="4" t="s">
        <v>116</v>
      </c>
      <c r="C94" s="4" t="s">
        <v>23</v>
      </c>
      <c r="D94" s="4" t="s">
        <v>24</v>
      </c>
      <c r="E94" s="18">
        <v>11.858599999999999</v>
      </c>
      <c r="F94" s="18">
        <v>4.9328000000000003</v>
      </c>
      <c r="G94" s="18">
        <v>5.3400000000000003E-2</v>
      </c>
      <c r="H94" s="18">
        <v>1.76</v>
      </c>
      <c r="I94" s="18">
        <v>7.1099999999999997E-2</v>
      </c>
      <c r="J94" s="18">
        <v>-0.68740000000000001</v>
      </c>
      <c r="K94" s="18">
        <v>6.59E-2</v>
      </c>
      <c r="L94" s="18">
        <v>0.28870000000000001</v>
      </c>
    </row>
    <row r="95" spans="1:12" ht="14.1" customHeight="1" x14ac:dyDescent="0.25">
      <c r="A95" s="4" t="s">
        <v>41</v>
      </c>
      <c r="B95" s="4" t="s">
        <v>115</v>
      </c>
      <c r="C95" s="4" t="s">
        <v>29</v>
      </c>
      <c r="D95" s="4" t="s">
        <v>30</v>
      </c>
      <c r="E95" s="18">
        <v>7.7196999999999996</v>
      </c>
      <c r="F95" s="18">
        <v>3.7875999999999999</v>
      </c>
      <c r="G95" s="18">
        <v>2.4199999999999999E-2</v>
      </c>
      <c r="H95" s="18">
        <v>0.78</v>
      </c>
      <c r="I95" s="18">
        <v>0.10589999999999999</v>
      </c>
      <c r="J95" s="18">
        <v>-0.37059999999999998</v>
      </c>
      <c r="K95" s="18">
        <v>6.4100000000000004E-2</v>
      </c>
      <c r="L95" s="18">
        <v>0.33279999999999998</v>
      </c>
    </row>
    <row r="96" spans="1:12" ht="14.1" customHeight="1" x14ac:dyDescent="0.25">
      <c r="A96" s="4" t="s">
        <v>41</v>
      </c>
      <c r="B96" s="4" t="s">
        <v>119</v>
      </c>
      <c r="C96" s="4" t="s">
        <v>16</v>
      </c>
      <c r="D96" s="4" t="s">
        <v>17</v>
      </c>
      <c r="E96" s="18">
        <v>11.537599999999999</v>
      </c>
      <c r="F96" s="18">
        <v>4.5274999999999999</v>
      </c>
      <c r="G96" s="18">
        <v>5.8099999999999999E-2</v>
      </c>
      <c r="H96" s="18">
        <v>2.16</v>
      </c>
      <c r="I96" s="18">
        <v>6.4000000000000001E-2</v>
      </c>
      <c r="J96" s="18">
        <v>-0.77769999999999995</v>
      </c>
      <c r="K96" s="18">
        <v>6.2300000000000001E-2</v>
      </c>
      <c r="L96" s="18">
        <v>0.27189999999999998</v>
      </c>
    </row>
    <row r="97" spans="1:12" ht="14.1" customHeight="1" x14ac:dyDescent="0.25">
      <c r="A97" s="4" t="s">
        <v>41</v>
      </c>
      <c r="B97" s="4" t="s">
        <v>117</v>
      </c>
      <c r="C97" s="4" t="s">
        <v>16</v>
      </c>
      <c r="D97" s="4" t="s">
        <v>17</v>
      </c>
      <c r="E97" s="18">
        <v>11.575699999999999</v>
      </c>
      <c r="F97" s="18">
        <v>4.5805999999999996</v>
      </c>
      <c r="G97" s="18">
        <v>6.54E-2</v>
      </c>
      <c r="H97" s="18">
        <v>2.4300000000000002</v>
      </c>
      <c r="I97" s="18">
        <v>6.1800000000000001E-2</v>
      </c>
      <c r="J97" s="18">
        <v>-0.78879999999999995</v>
      </c>
      <c r="K97" s="18">
        <v>6.0299999999999999E-2</v>
      </c>
      <c r="L97" s="18">
        <v>0.26869999999999999</v>
      </c>
    </row>
    <row r="98" spans="1:12" ht="14.1" customHeight="1" x14ac:dyDescent="0.25">
      <c r="A98" s="4" t="s">
        <v>41</v>
      </c>
      <c r="B98" s="4" t="s">
        <v>115</v>
      </c>
      <c r="C98" s="4" t="s">
        <v>23</v>
      </c>
      <c r="D98" s="4" t="s">
        <v>24</v>
      </c>
      <c r="E98" s="18">
        <v>11.8537</v>
      </c>
      <c r="F98" s="18">
        <v>5.0159000000000002</v>
      </c>
      <c r="G98" s="18">
        <v>5.0799999999999998E-2</v>
      </c>
      <c r="H98" s="18">
        <v>1.68</v>
      </c>
      <c r="I98" s="18">
        <v>6.5100000000000005E-2</v>
      </c>
      <c r="J98" s="18">
        <v>-0.68700000000000006</v>
      </c>
      <c r="K98" s="18">
        <v>5.9299999999999999E-2</v>
      </c>
      <c r="L98" s="18">
        <v>0.28499999999999998</v>
      </c>
    </row>
    <row r="99" spans="1:12" ht="14.1" customHeight="1" x14ac:dyDescent="0.25">
      <c r="A99" s="4" t="s">
        <v>41</v>
      </c>
      <c r="B99" s="4" t="s">
        <v>119</v>
      </c>
      <c r="C99" s="4" t="s">
        <v>29</v>
      </c>
      <c r="D99" s="4" t="s">
        <v>30</v>
      </c>
      <c r="E99" s="18">
        <v>7.7934000000000001</v>
      </c>
      <c r="F99" s="18">
        <v>3.8412999999999999</v>
      </c>
      <c r="G99" s="18">
        <v>2.7300000000000001E-2</v>
      </c>
      <c r="H99" s="18">
        <v>0.88</v>
      </c>
      <c r="I99" s="18">
        <v>9.64E-2</v>
      </c>
      <c r="J99" s="18">
        <v>-0.39689999999999998</v>
      </c>
      <c r="K99" s="18">
        <v>5.79E-2</v>
      </c>
      <c r="L99" s="18">
        <v>0.32579999999999998</v>
      </c>
    </row>
    <row r="100" spans="1:12" ht="14.1" customHeight="1" x14ac:dyDescent="0.25">
      <c r="A100" s="4" t="s">
        <v>41</v>
      </c>
      <c r="B100" s="4" t="s">
        <v>119</v>
      </c>
      <c r="C100" s="4" t="s">
        <v>23</v>
      </c>
      <c r="D100" s="4" t="s">
        <v>24</v>
      </c>
      <c r="E100" s="18">
        <v>11.9422</v>
      </c>
      <c r="F100" s="18">
        <v>5.0438999999999998</v>
      </c>
      <c r="G100" s="18">
        <v>5.5500000000000001E-2</v>
      </c>
      <c r="H100" s="18">
        <v>1.83</v>
      </c>
      <c r="I100" s="18">
        <v>6.0199999999999997E-2</v>
      </c>
      <c r="J100" s="18">
        <v>-0.71230000000000004</v>
      </c>
      <c r="K100" s="18">
        <v>5.5300000000000002E-2</v>
      </c>
      <c r="L100" s="18">
        <v>0.2782</v>
      </c>
    </row>
    <row r="101" spans="1:12" ht="14.1" customHeight="1" x14ac:dyDescent="0.25">
      <c r="A101" s="4" t="s">
        <v>41</v>
      </c>
      <c r="B101" s="4" t="s">
        <v>119</v>
      </c>
      <c r="C101" s="4" t="s">
        <v>21</v>
      </c>
      <c r="D101" s="4" t="s">
        <v>22</v>
      </c>
      <c r="E101" s="18">
        <v>12.8223</v>
      </c>
      <c r="F101" s="18">
        <v>5.1016000000000004</v>
      </c>
      <c r="G101" s="18">
        <v>6.1699999999999998E-2</v>
      </c>
      <c r="H101" s="18">
        <v>2.0499999999999998</v>
      </c>
      <c r="I101" s="18">
        <v>5.6800000000000003E-2</v>
      </c>
      <c r="J101" s="18">
        <v>-0.79069999999999996</v>
      </c>
      <c r="K101" s="18">
        <v>5.5199999999999999E-2</v>
      </c>
      <c r="L101" s="18">
        <v>0.26419999999999999</v>
      </c>
    </row>
    <row r="102" spans="1:12" ht="14.1" customHeight="1" x14ac:dyDescent="0.25">
      <c r="A102" s="4" t="s">
        <v>41</v>
      </c>
      <c r="B102" s="4" t="s">
        <v>117</v>
      </c>
      <c r="C102" s="4" t="s">
        <v>27</v>
      </c>
      <c r="D102" s="4" t="s">
        <v>28</v>
      </c>
      <c r="E102" s="18">
        <v>8.0928000000000004</v>
      </c>
      <c r="F102" s="18">
        <v>3.9903</v>
      </c>
      <c r="G102" s="18">
        <v>3.0300000000000001E-2</v>
      </c>
      <c r="H102" s="18">
        <v>0.92</v>
      </c>
      <c r="I102" s="18">
        <v>0.1024</v>
      </c>
      <c r="J102" s="18">
        <v>-0.35199999999999998</v>
      </c>
      <c r="K102" s="18">
        <v>5.4899999999999997E-2</v>
      </c>
      <c r="L102" s="18">
        <v>0.32700000000000001</v>
      </c>
    </row>
    <row r="103" spans="1:12" ht="14.1" customHeight="1" x14ac:dyDescent="0.25">
      <c r="A103" s="4" t="s">
        <v>41</v>
      </c>
      <c r="B103" s="4" t="s">
        <v>116</v>
      </c>
      <c r="C103" s="4" t="s">
        <v>35</v>
      </c>
      <c r="D103" s="4" t="s">
        <v>36</v>
      </c>
      <c r="E103" s="18">
        <v>14.0632</v>
      </c>
      <c r="F103" s="18">
        <v>5.1494</v>
      </c>
      <c r="G103" s="18">
        <v>6.8000000000000005E-2</v>
      </c>
      <c r="H103" s="18">
        <v>2.2400000000000002</v>
      </c>
      <c r="I103" s="18">
        <v>5.8799999999999998E-2</v>
      </c>
      <c r="J103" s="18">
        <v>-0.7127</v>
      </c>
      <c r="K103" s="18">
        <v>5.3800000000000001E-2</v>
      </c>
      <c r="L103" s="18">
        <v>0.24079999999999999</v>
      </c>
    </row>
    <row r="104" spans="1:12" ht="14.1" customHeight="1" x14ac:dyDescent="0.25">
      <c r="A104" s="4" t="s">
        <v>41</v>
      </c>
      <c r="B104" s="4" t="s">
        <v>119</v>
      </c>
      <c r="C104" s="4" t="s">
        <v>27</v>
      </c>
      <c r="D104" s="4" t="s">
        <v>28</v>
      </c>
      <c r="E104" s="18">
        <v>8.0891999999999999</v>
      </c>
      <c r="F104" s="18">
        <v>4.0213000000000001</v>
      </c>
      <c r="G104" s="18">
        <v>2.75E-2</v>
      </c>
      <c r="H104" s="18">
        <v>0.83</v>
      </c>
      <c r="I104" s="18">
        <v>0.1016</v>
      </c>
      <c r="J104" s="18">
        <v>-0.35149999999999998</v>
      </c>
      <c r="K104" s="18">
        <v>5.3699999999999998E-2</v>
      </c>
      <c r="L104" s="18">
        <v>0.33389999999999997</v>
      </c>
    </row>
    <row r="105" spans="1:12" ht="14.1" customHeight="1" x14ac:dyDescent="0.25">
      <c r="A105" s="4" t="s">
        <v>41</v>
      </c>
      <c r="B105" s="4" t="s">
        <v>118</v>
      </c>
      <c r="C105" s="4" t="s">
        <v>23</v>
      </c>
      <c r="D105" s="4" t="s">
        <v>24</v>
      </c>
      <c r="E105" s="18">
        <v>11.955</v>
      </c>
      <c r="F105" s="18">
        <v>4.9859</v>
      </c>
      <c r="G105" s="18">
        <v>5.4899999999999997E-2</v>
      </c>
      <c r="H105" s="18">
        <v>1.81</v>
      </c>
      <c r="I105" s="18">
        <v>5.79E-2</v>
      </c>
      <c r="J105" s="18">
        <v>-0.71599999999999997</v>
      </c>
      <c r="K105" s="18">
        <v>5.2999999999999999E-2</v>
      </c>
      <c r="L105" s="18">
        <v>0.2742</v>
      </c>
    </row>
    <row r="106" spans="1:12" ht="14.1" customHeight="1" x14ac:dyDescent="0.25">
      <c r="A106" s="4" t="s">
        <v>41</v>
      </c>
      <c r="B106" s="4" t="s">
        <v>117</v>
      </c>
      <c r="C106" s="4" t="s">
        <v>39</v>
      </c>
      <c r="D106" s="4" t="s">
        <v>40</v>
      </c>
      <c r="E106" s="18">
        <v>12.4826</v>
      </c>
      <c r="F106" s="18">
        <v>4.8456999999999999</v>
      </c>
      <c r="G106" s="18">
        <v>6.7299999999999999E-2</v>
      </c>
      <c r="H106" s="18">
        <v>2.31</v>
      </c>
      <c r="I106" s="18">
        <v>5.8200000000000002E-2</v>
      </c>
      <c r="J106" s="18">
        <v>-0.71089999999999998</v>
      </c>
      <c r="K106" s="18">
        <v>5.2999999999999999E-2</v>
      </c>
      <c r="L106" s="18">
        <v>0.25369999999999998</v>
      </c>
    </row>
    <row r="107" spans="1:12" ht="14.1" customHeight="1" x14ac:dyDescent="0.25">
      <c r="A107" s="4" t="s">
        <v>41</v>
      </c>
      <c r="B107" s="4" t="s">
        <v>119</v>
      </c>
      <c r="C107" s="4" t="s">
        <v>39</v>
      </c>
      <c r="D107" s="4" t="s">
        <v>40</v>
      </c>
      <c r="E107" s="18">
        <v>12.4648</v>
      </c>
      <c r="F107" s="18">
        <v>4.8296000000000001</v>
      </c>
      <c r="G107" s="18">
        <v>6.3500000000000001E-2</v>
      </c>
      <c r="H107" s="18">
        <v>2.1800000000000002</v>
      </c>
      <c r="I107" s="18">
        <v>5.8099999999999999E-2</v>
      </c>
      <c r="J107" s="18">
        <v>-0.70699999999999996</v>
      </c>
      <c r="K107" s="18">
        <v>5.2600000000000001E-2</v>
      </c>
      <c r="L107" s="18">
        <v>0.253</v>
      </c>
    </row>
    <row r="108" spans="1:12" ht="14.1" customHeight="1" x14ac:dyDescent="0.25">
      <c r="A108" s="4" t="s">
        <v>41</v>
      </c>
      <c r="B108" s="4" t="s">
        <v>115</v>
      </c>
      <c r="C108" s="4" t="s">
        <v>16</v>
      </c>
      <c r="D108" s="4" t="s">
        <v>17</v>
      </c>
      <c r="E108" s="18">
        <v>11.573399999999999</v>
      </c>
      <c r="F108" s="18">
        <v>4.5697000000000001</v>
      </c>
      <c r="G108" s="18">
        <v>5.9700000000000003E-2</v>
      </c>
      <c r="H108" s="18">
        <v>2.2200000000000002</v>
      </c>
      <c r="I108" s="18">
        <v>5.4199999999999998E-2</v>
      </c>
      <c r="J108" s="18">
        <v>-0.78869999999999996</v>
      </c>
      <c r="K108" s="18">
        <v>5.2299999999999999E-2</v>
      </c>
      <c r="L108" s="18">
        <v>0.2581</v>
      </c>
    </row>
    <row r="109" spans="1:12" ht="14.1" customHeight="1" x14ac:dyDescent="0.25">
      <c r="A109" s="4" t="s">
        <v>41</v>
      </c>
      <c r="B109" s="4" t="s">
        <v>118</v>
      </c>
      <c r="C109" s="4" t="s">
        <v>16</v>
      </c>
      <c r="D109" s="4" t="s">
        <v>17</v>
      </c>
      <c r="E109" s="18">
        <v>11.619300000000001</v>
      </c>
      <c r="F109" s="18">
        <v>4.5353000000000003</v>
      </c>
      <c r="G109" s="18">
        <v>5.9200000000000003E-2</v>
      </c>
      <c r="H109" s="18">
        <v>2.2000000000000002</v>
      </c>
      <c r="I109" s="18">
        <v>5.1999999999999998E-2</v>
      </c>
      <c r="J109" s="18">
        <v>-0.80300000000000005</v>
      </c>
      <c r="K109" s="18">
        <v>5.04E-2</v>
      </c>
      <c r="L109" s="18">
        <v>0.25280000000000002</v>
      </c>
    </row>
    <row r="110" spans="1:12" ht="14.1" customHeight="1" x14ac:dyDescent="0.25">
      <c r="A110" s="4" t="s">
        <v>41</v>
      </c>
      <c r="B110" s="4" t="s">
        <v>117</v>
      </c>
      <c r="C110" s="4" t="s">
        <v>21</v>
      </c>
      <c r="D110" s="4" t="s">
        <v>22</v>
      </c>
      <c r="E110" s="18">
        <v>12.891999999999999</v>
      </c>
      <c r="F110" s="18">
        <v>5.0903</v>
      </c>
      <c r="G110" s="18">
        <v>6.8900000000000003E-2</v>
      </c>
      <c r="H110" s="18">
        <v>2.29</v>
      </c>
      <c r="I110" s="18">
        <v>5.1700000000000003E-2</v>
      </c>
      <c r="J110" s="18">
        <v>-0.80910000000000004</v>
      </c>
      <c r="K110" s="18">
        <v>5.0200000000000002E-2</v>
      </c>
      <c r="L110" s="18">
        <v>0.25729999999999997</v>
      </c>
    </row>
    <row r="111" spans="1:12" ht="14.1" customHeight="1" x14ac:dyDescent="0.25">
      <c r="A111" s="4" t="s">
        <v>41</v>
      </c>
      <c r="B111" s="4" t="s">
        <v>116</v>
      </c>
      <c r="C111" s="4" t="s">
        <v>37</v>
      </c>
      <c r="D111" s="4" t="s">
        <v>38</v>
      </c>
      <c r="E111" s="18">
        <v>12.972099999999999</v>
      </c>
      <c r="F111" s="18">
        <v>4.423</v>
      </c>
      <c r="G111" s="18">
        <v>6.8500000000000005E-2</v>
      </c>
      <c r="H111" s="18">
        <v>2.65</v>
      </c>
      <c r="I111" s="18">
        <v>5.5199999999999999E-2</v>
      </c>
      <c r="J111" s="18">
        <v>-0.69069999999999998</v>
      </c>
      <c r="K111" s="18">
        <v>4.82E-2</v>
      </c>
      <c r="L111" s="18">
        <v>0.22339999999999999</v>
      </c>
    </row>
    <row r="112" spans="1:12" ht="14.1" customHeight="1" x14ac:dyDescent="0.25">
      <c r="A112" s="4" t="s">
        <v>41</v>
      </c>
      <c r="B112" s="4" t="s">
        <v>115</v>
      </c>
      <c r="C112" s="4" t="s">
        <v>21</v>
      </c>
      <c r="D112" s="4" t="s">
        <v>22</v>
      </c>
      <c r="E112" s="18">
        <v>12.843999999999999</v>
      </c>
      <c r="F112" s="18">
        <v>5.0857000000000001</v>
      </c>
      <c r="G112" s="18">
        <v>6.2300000000000001E-2</v>
      </c>
      <c r="H112" s="18">
        <v>2.0699999999999998</v>
      </c>
      <c r="I112" s="18">
        <v>4.9399999999999999E-2</v>
      </c>
      <c r="J112" s="18">
        <v>-0.79669999999999996</v>
      </c>
      <c r="K112" s="18">
        <v>4.7500000000000001E-2</v>
      </c>
      <c r="L112" s="18">
        <v>0.25459999999999999</v>
      </c>
    </row>
    <row r="113" spans="1:12" ht="14.1" customHeight="1" x14ac:dyDescent="0.25">
      <c r="A113" s="4" t="s">
        <v>41</v>
      </c>
      <c r="B113" s="4" t="s">
        <v>117</v>
      </c>
      <c r="C113" s="4" t="s">
        <v>37</v>
      </c>
      <c r="D113" s="4" t="s">
        <v>38</v>
      </c>
      <c r="E113" s="18">
        <v>13.0007</v>
      </c>
      <c r="F113" s="18">
        <v>4.4241999999999999</v>
      </c>
      <c r="G113" s="18">
        <v>7.51E-2</v>
      </c>
      <c r="H113" s="18">
        <v>2.9</v>
      </c>
      <c r="I113" s="18">
        <v>5.3600000000000002E-2</v>
      </c>
      <c r="J113" s="18">
        <v>-0.69810000000000005</v>
      </c>
      <c r="K113" s="18">
        <v>4.6899999999999997E-2</v>
      </c>
      <c r="L113" s="18">
        <v>0.222</v>
      </c>
    </row>
    <row r="114" spans="1:12" ht="14.1" customHeight="1" x14ac:dyDescent="0.25">
      <c r="A114" s="4" t="s">
        <v>41</v>
      </c>
      <c r="B114" s="4" t="s">
        <v>118</v>
      </c>
      <c r="C114" s="4" t="s">
        <v>35</v>
      </c>
      <c r="D114" s="4" t="s">
        <v>36</v>
      </c>
      <c r="E114" s="18">
        <v>14.106</v>
      </c>
      <c r="F114" s="18">
        <v>5.1098999999999997</v>
      </c>
      <c r="G114" s="18">
        <v>6.5299999999999997E-2</v>
      </c>
      <c r="H114" s="18">
        <v>2.15</v>
      </c>
      <c r="I114" s="18">
        <v>5.1200000000000002E-2</v>
      </c>
      <c r="J114" s="18">
        <v>-0.72389999999999999</v>
      </c>
      <c r="K114" s="18">
        <v>4.6100000000000002E-2</v>
      </c>
      <c r="L114" s="18">
        <v>0.23089999999999999</v>
      </c>
    </row>
    <row r="115" spans="1:12" ht="14.1" customHeight="1" x14ac:dyDescent="0.25">
      <c r="A115" s="4" t="s">
        <v>41</v>
      </c>
      <c r="B115" s="4" t="s">
        <v>118</v>
      </c>
      <c r="C115" s="4" t="s">
        <v>21</v>
      </c>
      <c r="D115" s="4" t="s">
        <v>22</v>
      </c>
      <c r="E115" s="18">
        <v>12.9293</v>
      </c>
      <c r="F115" s="18">
        <v>5.1336000000000004</v>
      </c>
      <c r="G115" s="18">
        <v>6.25E-2</v>
      </c>
      <c r="H115" s="18">
        <v>2.08</v>
      </c>
      <c r="I115" s="18">
        <v>4.19E-2</v>
      </c>
      <c r="J115" s="18">
        <v>-0.82069999999999999</v>
      </c>
      <c r="K115" s="18">
        <v>4.0300000000000002E-2</v>
      </c>
      <c r="L115" s="18">
        <v>0.24610000000000001</v>
      </c>
    </row>
    <row r="116" spans="1:12" ht="14.1" customHeight="1" x14ac:dyDescent="0.25">
      <c r="A116" s="4" t="s">
        <v>41</v>
      </c>
      <c r="B116" s="4" t="s">
        <v>117</v>
      </c>
      <c r="C116" s="4" t="s">
        <v>23</v>
      </c>
      <c r="D116" s="4" t="s">
        <v>24</v>
      </c>
      <c r="E116" s="18">
        <v>12.078900000000001</v>
      </c>
      <c r="F116" s="18">
        <v>5.0808999999999997</v>
      </c>
      <c r="G116" s="18">
        <v>5.8400000000000001E-2</v>
      </c>
      <c r="H116" s="18">
        <v>1.93</v>
      </c>
      <c r="I116" s="18">
        <v>4.1599999999999998E-2</v>
      </c>
      <c r="J116" s="18">
        <v>-0.75070000000000003</v>
      </c>
      <c r="K116" s="18">
        <v>3.7100000000000001E-2</v>
      </c>
      <c r="L116" s="18">
        <v>0.25740000000000002</v>
      </c>
    </row>
    <row r="117" spans="1:12" ht="14.1" customHeight="1" x14ac:dyDescent="0.25">
      <c r="A117" s="4" t="s">
        <v>41</v>
      </c>
      <c r="B117" s="4" t="s">
        <v>118</v>
      </c>
      <c r="C117" s="4" t="s">
        <v>39</v>
      </c>
      <c r="D117" s="4" t="s">
        <v>40</v>
      </c>
      <c r="E117" s="18">
        <v>12.5779</v>
      </c>
      <c r="F117" s="18">
        <v>4.8551000000000002</v>
      </c>
      <c r="G117" s="18">
        <v>6.5299999999999997E-2</v>
      </c>
      <c r="H117" s="18">
        <v>2.2400000000000002</v>
      </c>
      <c r="I117" s="18">
        <v>4.19E-2</v>
      </c>
      <c r="J117" s="18">
        <v>-0.73819999999999997</v>
      </c>
      <c r="K117" s="18">
        <v>3.6600000000000001E-2</v>
      </c>
      <c r="L117" s="18">
        <v>0.23280000000000001</v>
      </c>
    </row>
    <row r="118" spans="1:12" ht="14.1" customHeight="1" x14ac:dyDescent="0.25">
      <c r="A118" s="4" t="s">
        <v>41</v>
      </c>
      <c r="B118" s="4" t="s">
        <v>115</v>
      </c>
      <c r="C118" s="4" t="s">
        <v>39</v>
      </c>
      <c r="D118" s="4" t="s">
        <v>40</v>
      </c>
      <c r="E118" s="18">
        <v>12.519299999999999</v>
      </c>
      <c r="F118" s="18">
        <v>4.8499999999999996</v>
      </c>
      <c r="G118" s="18">
        <v>6.3399999999999998E-2</v>
      </c>
      <c r="H118" s="18">
        <v>2.1800000000000002</v>
      </c>
      <c r="I118" s="18">
        <v>4.1700000000000001E-2</v>
      </c>
      <c r="J118" s="18">
        <v>-0.72199999999999998</v>
      </c>
      <c r="K118" s="18">
        <v>3.5499999999999997E-2</v>
      </c>
      <c r="L118" s="18">
        <v>0.2301</v>
      </c>
    </row>
    <row r="119" spans="1:12" ht="14.1" customHeight="1" x14ac:dyDescent="0.25">
      <c r="A119" s="4" t="s">
        <v>41</v>
      </c>
      <c r="B119" s="4" t="s">
        <v>115</v>
      </c>
      <c r="C119" s="4" t="s">
        <v>37</v>
      </c>
      <c r="D119" s="4" t="s">
        <v>38</v>
      </c>
      <c r="E119" s="18">
        <v>13.0006</v>
      </c>
      <c r="F119" s="18">
        <v>4.4044999999999996</v>
      </c>
      <c r="G119" s="18">
        <v>6.7100000000000007E-2</v>
      </c>
      <c r="H119" s="18">
        <v>2.6</v>
      </c>
      <c r="I119" s="18">
        <v>4.1799999999999997E-2</v>
      </c>
      <c r="J119" s="18">
        <v>-0.69910000000000005</v>
      </c>
      <c r="K119" s="18">
        <v>3.3799999999999997E-2</v>
      </c>
      <c r="L119" s="18">
        <v>0.20430000000000001</v>
      </c>
    </row>
    <row r="120" spans="1:12" ht="14.1" customHeight="1" x14ac:dyDescent="0.25">
      <c r="A120" s="4" t="s">
        <v>41</v>
      </c>
      <c r="B120" s="4" t="s">
        <v>117</v>
      </c>
      <c r="C120" s="4" t="s">
        <v>35</v>
      </c>
      <c r="D120" s="4" t="s">
        <v>36</v>
      </c>
      <c r="E120" s="18">
        <v>14.2287</v>
      </c>
      <c r="F120" s="18">
        <v>5.2145999999999999</v>
      </c>
      <c r="G120" s="18">
        <v>7.0599999999999996E-2</v>
      </c>
      <c r="H120" s="18">
        <v>2.33</v>
      </c>
      <c r="I120" s="18">
        <v>3.7600000000000001E-2</v>
      </c>
      <c r="J120" s="18">
        <v>-0.75329999999999997</v>
      </c>
      <c r="K120" s="18">
        <v>3.2800000000000003E-2</v>
      </c>
      <c r="L120" s="18">
        <v>0.21779999999999999</v>
      </c>
    </row>
    <row r="121" spans="1:12" ht="14.1" customHeight="1" x14ac:dyDescent="0.25">
      <c r="A121" s="4" t="s">
        <v>41</v>
      </c>
      <c r="B121" s="4" t="s">
        <v>119</v>
      </c>
      <c r="C121" s="4" t="s">
        <v>35</v>
      </c>
      <c r="D121" s="4" t="s">
        <v>36</v>
      </c>
      <c r="E121" s="18">
        <v>14.2355</v>
      </c>
      <c r="F121" s="18">
        <v>5.2172999999999998</v>
      </c>
      <c r="G121" s="18">
        <v>6.6900000000000001E-2</v>
      </c>
      <c r="H121" s="18">
        <v>2.21</v>
      </c>
      <c r="I121" s="18">
        <v>3.5999999999999997E-2</v>
      </c>
      <c r="J121" s="18">
        <v>-0.75570000000000004</v>
      </c>
      <c r="K121" s="18">
        <v>3.1199999999999999E-2</v>
      </c>
      <c r="L121" s="18">
        <v>0.2135</v>
      </c>
    </row>
    <row r="122" spans="1:12" ht="14.1" customHeight="1" x14ac:dyDescent="0.25">
      <c r="A122" s="4" t="s">
        <v>41</v>
      </c>
      <c r="B122" s="4" t="s">
        <v>119</v>
      </c>
      <c r="C122" s="4" t="s">
        <v>37</v>
      </c>
      <c r="D122" s="4" t="s">
        <v>38</v>
      </c>
      <c r="E122" s="18">
        <v>13.119300000000001</v>
      </c>
      <c r="F122" s="18">
        <v>4.5125000000000002</v>
      </c>
      <c r="G122" s="18">
        <v>6.8599999999999994E-2</v>
      </c>
      <c r="H122" s="18">
        <v>2.66</v>
      </c>
      <c r="I122" s="18">
        <v>3.4500000000000003E-2</v>
      </c>
      <c r="J122" s="18">
        <v>-0.73019999999999996</v>
      </c>
      <c r="K122" s="18">
        <v>2.7900000000000001E-2</v>
      </c>
      <c r="L122" s="18">
        <v>0.19589999999999999</v>
      </c>
    </row>
    <row r="123" spans="1:12" ht="14.1" customHeight="1" x14ac:dyDescent="0.25">
      <c r="A123" s="4" t="s">
        <v>41</v>
      </c>
      <c r="B123" s="4" t="s">
        <v>115</v>
      </c>
      <c r="C123" s="4" t="s">
        <v>35</v>
      </c>
      <c r="D123" s="4" t="s">
        <v>36</v>
      </c>
      <c r="E123" s="18">
        <v>14.180899999999999</v>
      </c>
      <c r="F123" s="18">
        <v>5.1715999999999998</v>
      </c>
      <c r="G123" s="18">
        <v>6.0299999999999999E-2</v>
      </c>
      <c r="H123" s="18">
        <v>1.99</v>
      </c>
      <c r="I123" s="18">
        <v>3.0099999999999998E-2</v>
      </c>
      <c r="J123" s="18">
        <v>-0.74229999999999996</v>
      </c>
      <c r="K123" s="18">
        <v>2.3900000000000001E-2</v>
      </c>
      <c r="L123" s="18">
        <v>0.2056</v>
      </c>
    </row>
    <row r="124" spans="1:12" ht="14.1" customHeight="1" x14ac:dyDescent="0.25">
      <c r="A124" s="4" t="s">
        <v>41</v>
      </c>
      <c r="B124" s="4" t="s">
        <v>118</v>
      </c>
      <c r="C124" s="4" t="s">
        <v>37</v>
      </c>
      <c r="D124" s="4" t="s">
        <v>38</v>
      </c>
      <c r="E124" s="18">
        <v>13.168699999999999</v>
      </c>
      <c r="F124" s="18">
        <v>4.4795999999999996</v>
      </c>
      <c r="G124" s="18">
        <v>6.9699999999999998E-2</v>
      </c>
      <c r="H124" s="18">
        <v>2.7</v>
      </c>
      <c r="I124" s="18">
        <v>2.75E-2</v>
      </c>
      <c r="J124" s="18">
        <v>-0.74329999999999996</v>
      </c>
      <c r="K124" s="18">
        <v>2.1000000000000001E-2</v>
      </c>
      <c r="L124" s="18">
        <v>0.18640000000000001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showGridLines="0" workbookViewId="0">
      <selection sqref="A1:C1"/>
    </sheetView>
  </sheetViews>
  <sheetFormatPr defaultRowHeight="15" x14ac:dyDescent="0.25"/>
  <cols>
    <col min="1" max="1" width="18" customWidth="1"/>
    <col min="2" max="2" width="70" customWidth="1"/>
    <col min="3" max="3" width="46" customWidth="1"/>
  </cols>
  <sheetData>
    <row r="1" spans="1:3" ht="24" customHeight="1" x14ac:dyDescent="0.25">
      <c r="A1" s="25" t="s">
        <v>120</v>
      </c>
      <c r="B1" s="24"/>
      <c r="C1" s="24"/>
    </row>
    <row r="2" spans="1:3" ht="14.1" customHeight="1" x14ac:dyDescent="0.25">
      <c r="A2" s="23" t="s">
        <v>121</v>
      </c>
      <c r="B2" s="24"/>
      <c r="C2" s="24"/>
    </row>
    <row r="3" spans="1:3" ht="36" customHeight="1" x14ac:dyDescent="0.25">
      <c r="A3" s="1" t="s">
        <v>122</v>
      </c>
      <c r="B3" s="1" t="s">
        <v>123</v>
      </c>
      <c r="C3" s="1" t="s">
        <v>124</v>
      </c>
    </row>
    <row r="4" spans="1:3" ht="36" customHeight="1" x14ac:dyDescent="0.25">
      <c r="A4" s="19" t="s">
        <v>125</v>
      </c>
      <c r="B4" s="20" t="s">
        <v>126</v>
      </c>
      <c r="C4" s="20" t="s">
        <v>127</v>
      </c>
    </row>
    <row r="5" spans="1:3" ht="36" customHeight="1" x14ac:dyDescent="0.25">
      <c r="A5" s="21" t="s">
        <v>128</v>
      </c>
      <c r="B5" s="22" t="s">
        <v>129</v>
      </c>
      <c r="C5" s="22" t="s">
        <v>130</v>
      </c>
    </row>
    <row r="6" spans="1:3" ht="36" customHeight="1" x14ac:dyDescent="0.25">
      <c r="A6" s="19" t="s">
        <v>13</v>
      </c>
      <c r="B6" s="20" t="s">
        <v>131</v>
      </c>
      <c r="C6" s="20" t="s">
        <v>132</v>
      </c>
    </row>
    <row r="7" spans="1:3" ht="36" customHeight="1" x14ac:dyDescent="0.25">
      <c r="A7" s="21" t="s">
        <v>12</v>
      </c>
      <c r="B7" s="22" t="s">
        <v>133</v>
      </c>
      <c r="C7" s="22" t="s">
        <v>134</v>
      </c>
    </row>
    <row r="8" spans="1:3" ht="36" customHeight="1" x14ac:dyDescent="0.25">
      <c r="A8" s="19" t="s">
        <v>135</v>
      </c>
      <c r="B8" s="20" t="s">
        <v>136</v>
      </c>
      <c r="C8" s="20" t="s">
        <v>137</v>
      </c>
    </row>
    <row r="9" spans="1:3" ht="36" customHeight="1" x14ac:dyDescent="0.25">
      <c r="A9" s="21" t="s">
        <v>138</v>
      </c>
      <c r="B9" s="22" t="s">
        <v>139</v>
      </c>
      <c r="C9" s="22" t="s">
        <v>140</v>
      </c>
    </row>
    <row r="10" spans="1:3" ht="36" customHeight="1" x14ac:dyDescent="0.25">
      <c r="A10" s="19" t="s">
        <v>141</v>
      </c>
      <c r="B10" s="20" t="s">
        <v>142</v>
      </c>
      <c r="C10" s="20" t="s">
        <v>143</v>
      </c>
    </row>
    <row r="11" spans="1:3" ht="36" customHeight="1" x14ac:dyDescent="0.25">
      <c r="A11" s="21" t="s">
        <v>144</v>
      </c>
      <c r="B11" s="22" t="s">
        <v>145</v>
      </c>
      <c r="C11" s="22" t="s">
        <v>146</v>
      </c>
    </row>
    <row r="12" spans="1:3" ht="36" customHeight="1" x14ac:dyDescent="0.25">
      <c r="A12" s="19" t="s">
        <v>147</v>
      </c>
      <c r="B12" s="20" t="s">
        <v>148</v>
      </c>
      <c r="C12" s="20" t="s">
        <v>149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S1 Daily Metrics</vt:lpstr>
      <vt:lpstr>S2 Monthly Metrics</vt:lpstr>
      <vt:lpstr>S3 Improvement</vt:lpstr>
      <vt:lpstr>S4 Wilcoxon Daily</vt:lpstr>
      <vt:lpstr>S5 Wilcoxon Monthly</vt:lpstr>
      <vt:lpstr>S6 Multi-Model Summary</vt:lpstr>
      <vt:lpstr>S7 Methods &amp;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 tele</cp:lastModifiedBy>
  <dcterms:created xsi:type="dcterms:W3CDTF">2026-04-13T05:31:42Z</dcterms:created>
  <dcterms:modified xsi:type="dcterms:W3CDTF">2026-04-13T11:05:17Z</dcterms:modified>
</cp:coreProperties>
</file>